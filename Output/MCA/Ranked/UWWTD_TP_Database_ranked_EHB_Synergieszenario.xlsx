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 Data" sheetId="1" state="visible" r:id="rId1"/>
    <sheet xmlns:r="http://schemas.openxmlformats.org/officeDocument/2006/relationships" name="Technical Data - Plant Metrics" sheetId="2" state="visible" r:id="rId2"/>
    <sheet xmlns:r="http://schemas.openxmlformats.org/officeDocument/2006/relationships" name="H2 Logistics" sheetId="3" state="visible" r:id="rId3"/>
    <sheet xmlns:r="http://schemas.openxmlformats.org/officeDocument/2006/relationships" name="H2 Renewables" sheetId="4" state="visible" r:id="rId4"/>
    <sheet xmlns:r="http://schemas.openxmlformats.org/officeDocument/2006/relationships" name="Grid Energy Connection" sheetId="5" state="visible" r:id="rId5"/>
    <sheet xmlns:r="http://schemas.openxmlformats.org/officeDocument/2006/relationships" name="Risks" sheetId="6" state="visible" r:id="rId6"/>
    <sheet xmlns:r="http://schemas.openxmlformats.org/officeDocument/2006/relationships" name="District Heating" sheetId="7" state="visible" r:id="rId7"/>
    <sheet xmlns:r="http://schemas.openxmlformats.org/officeDocument/2006/relationships" name="Additional Data" sheetId="8" state="visible" r:id="rId8"/>
    <sheet xmlns:r="http://schemas.openxmlformats.org/officeDocument/2006/relationships" name="Calculated Values" sheetId="9" state="visible" r:id="rId9"/>
    <sheet xmlns:r="http://schemas.openxmlformats.org/officeDocument/2006/relationships" name="Weights Configuration" sheetId="10" state="visible" r:id="rId10"/>
    <sheet xmlns:r="http://schemas.openxmlformats.org/officeDocument/2006/relationships" name="Configurat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3"/>
  <sheetViews>
    <sheetView workbookViewId="0">
      <selection activeCell="A1" sqref="A1"/>
    </sheetView>
  </sheetViews>
  <sheetFormatPr baseColWidth="8" defaultRowHeight="15"/>
  <cols>
    <col width="29" customWidth="1" min="1" max="1"/>
    <col width="67" customWidth="1" min="2" max="2"/>
    <col width="15" customWidth="1" min="3" max="3"/>
    <col width="15" customWidth="1" min="4" max="4"/>
    <col width="13" customWidth="1" min="5" max="5"/>
  </cols>
  <sheetData>
    <row r="1">
      <c r="A1" s="1" t="inlineStr">
        <is>
          <t>UWWTD Code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Capacity/PE</t>
        </is>
      </c>
    </row>
    <row r="2">
      <c r="A2" t="inlineStr">
        <is>
          <t>DETP_HH4/4 AI 3</t>
        </is>
      </c>
      <c r="B2" t="inlineStr">
        <is>
          <t>Klärwerksverbund Köhlbrandhöft Dradenau</t>
        </is>
      </c>
      <c r="C2" t="n">
        <v>53.5205</v>
      </c>
      <c r="D2" t="n">
        <v>9.915620000000001</v>
      </c>
      <c r="E2" t="n">
        <v>2900000</v>
      </c>
    </row>
    <row r="3">
      <c r="A3" t="inlineStr">
        <is>
          <t>NL25017</t>
        </is>
      </c>
      <c r="B3" t="inlineStr">
        <is>
          <t>UWWTP NIEUWVEER</t>
        </is>
      </c>
      <c r="C3" t="n">
        <v>51.63016666</v>
      </c>
      <c r="D3" t="n">
        <v>4.70793333</v>
      </c>
      <c r="E3" t="n">
        <v>360000</v>
      </c>
    </row>
    <row r="4">
      <c r="A4" t="inlineStr">
        <is>
          <t>ATTP_4-41003001</t>
        </is>
      </c>
      <c r="B4" t="inlineStr">
        <is>
          <t>Asten - Regionalkläranlage</t>
        </is>
      </c>
      <c r="C4" t="n">
        <v>48.2366499143</v>
      </c>
      <c r="D4" t="n">
        <v>14.4122269169</v>
      </c>
      <c r="E4" t="n">
        <v>950000</v>
      </c>
    </row>
    <row r="5">
      <c r="A5" t="inlineStr">
        <is>
          <t>ATTP_9-HKA-Simmering</t>
        </is>
      </c>
      <c r="B5" t="inlineStr">
        <is>
          <t>Hauptkläranlage Wien</t>
        </is>
      </c>
      <c r="C5" t="n">
        <v>48.1722666227</v>
      </c>
      <c r="D5" t="n">
        <v>16.4652650766</v>
      </c>
      <c r="E5" t="n">
        <v>4000000</v>
      </c>
    </row>
    <row r="6">
      <c r="A6" t="inlineStr">
        <is>
          <t>PLMP0011</t>
        </is>
      </c>
      <c r="B6" t="inlineStr">
        <is>
          <t>Kraków-Płaszów</t>
        </is>
      </c>
      <c r="C6" t="n">
        <v>50.0326</v>
      </c>
      <c r="D6" t="n">
        <v>20.0218</v>
      </c>
      <c r="E6" t="n">
        <v>780000</v>
      </c>
    </row>
    <row r="7">
      <c r="A7" t="inlineStr">
        <is>
          <t>DETP_NW1805</t>
        </is>
      </c>
      <c r="B7" t="inlineStr">
        <is>
          <t>Köln Stammheim</t>
        </is>
      </c>
      <c r="C7" t="n">
        <v>50.9937</v>
      </c>
      <c r="D7" t="n">
        <v>6.97477</v>
      </c>
      <c r="E7" t="n">
        <v>1450000</v>
      </c>
    </row>
    <row r="8">
      <c r="A8" t="inlineStr">
        <is>
          <t>RO8IF_53</t>
        </is>
      </c>
      <c r="B8" t="inlineStr">
        <is>
          <t>ROWP SC APA NOVA SA BUCURESTI</t>
        </is>
      </c>
      <c r="C8" t="n">
        <v>44.396</v>
      </c>
      <c r="D8" t="n">
        <v>26.234</v>
      </c>
      <c r="E8" t="n">
        <v>4696000</v>
      </c>
    </row>
    <row r="9">
      <c r="A9" t="inlineStr">
        <is>
          <t>PLSL0090</t>
        </is>
      </c>
      <c r="B9" t="inlineStr">
        <is>
          <t>Centralna Oczyszczalnia Ścieków w Gliwicach</t>
        </is>
      </c>
      <c r="C9" t="n">
        <v>50.3119</v>
      </c>
      <c r="D9" t="n">
        <v>18.6453</v>
      </c>
      <c r="E9" t="n">
        <v>310750</v>
      </c>
    </row>
    <row r="10">
      <c r="A10" t="inlineStr">
        <is>
          <t>ES2502970002010E</t>
        </is>
      </c>
      <c r="B10" t="inlineStr">
        <is>
          <t>ZARAGOZA (LA CARTUJA)</t>
        </is>
      </c>
      <c r="C10" t="n">
        <v>41.60967</v>
      </c>
      <c r="D10" t="n">
        <v>-0.80989</v>
      </c>
      <c r="E10" t="n">
        <v>1020000</v>
      </c>
    </row>
    <row r="11">
      <c r="A11" t="inlineStr">
        <is>
          <t>PLMZ0011</t>
        </is>
      </c>
      <c r="B11" t="inlineStr">
        <is>
          <t>Zakład Oczyszczalni Ścieków "Czajka"</t>
        </is>
      </c>
      <c r="C11" t="n">
        <v>52.35353841</v>
      </c>
      <c r="D11" t="n">
        <v>20.95945444</v>
      </c>
      <c r="E11" t="n">
        <v>2100000</v>
      </c>
    </row>
    <row r="12">
      <c r="A12" t="inlineStr">
        <is>
          <t>DETP_NW2102</t>
        </is>
      </c>
      <c r="B12" t="inlineStr">
        <is>
          <t>Krefeld</t>
        </is>
      </c>
      <c r="C12" t="n">
        <v>51.3808</v>
      </c>
      <c r="D12" t="n">
        <v>6.63935</v>
      </c>
      <c r="E12" t="n">
        <v>1200000</v>
      </c>
    </row>
    <row r="13">
      <c r="A13" t="inlineStr">
        <is>
          <t>NL32002</t>
        </is>
      </c>
      <c r="B13" t="inlineStr">
        <is>
          <t>UWWTP TILBURG-NOORD</t>
        </is>
      </c>
      <c r="C13" t="n">
        <v>51.60196666</v>
      </c>
      <c r="D13" t="n">
        <v>5.06821666</v>
      </c>
      <c r="E13" t="n">
        <v>400500</v>
      </c>
    </row>
    <row r="14">
      <c r="A14" t="inlineStr">
        <is>
          <t>DETP_BW2225100000001</t>
        </is>
      </c>
      <c r="B14" t="inlineStr">
        <is>
          <t>Kläranlage Mannheim</t>
        </is>
      </c>
      <c r="C14" t="n">
        <v>49.5655</v>
      </c>
      <c r="D14" t="n">
        <v>8.425689999999999</v>
      </c>
      <c r="E14" t="n">
        <v>725000</v>
      </c>
    </row>
    <row r="15">
      <c r="A15" t="inlineStr">
        <is>
          <t>ES9081690001010E</t>
        </is>
      </c>
      <c r="B15" t="inlineStr">
        <is>
          <t>PRAT DE LLOBREGAT (EL)</t>
        </is>
      </c>
      <c r="C15" t="n">
        <v>41.31147</v>
      </c>
      <c r="D15" t="n">
        <v>2.12744</v>
      </c>
      <c r="E15" t="n">
        <v>2275000</v>
      </c>
    </row>
    <row r="16">
      <c r="A16" t="inlineStr">
        <is>
          <t>ES16010590063010E</t>
        </is>
      </c>
      <c r="B16" t="inlineStr">
        <is>
          <t>Crispijana</t>
        </is>
      </c>
      <c r="C16" t="n">
        <v>42.853</v>
      </c>
      <c r="D16" t="n">
        <v>-2.743</v>
      </c>
      <c r="E16" t="n">
        <v>480000</v>
      </c>
    </row>
    <row r="17">
      <c r="A17" t="inlineStr">
        <is>
          <t>DETP_BE03</t>
        </is>
      </c>
      <c r="B17" t="inlineStr">
        <is>
          <t>Waßmannsdorf</t>
        </is>
      </c>
      <c r="C17" t="n">
        <v>52.388</v>
      </c>
      <c r="D17" t="n">
        <v>13.4669</v>
      </c>
      <c r="E17" t="n">
        <v>1270800</v>
      </c>
    </row>
    <row r="18">
      <c r="A18" t="inlineStr">
        <is>
          <t>DETP_MV03.03.1 wbu1437</t>
        </is>
      </c>
      <c r="B18" t="inlineStr">
        <is>
          <t>Rostock - Bramow</t>
        </is>
      </c>
      <c r="C18" t="n">
        <v>54.1042</v>
      </c>
      <c r="D18" t="n">
        <v>12.0963</v>
      </c>
      <c r="E18" t="n">
        <v>400000</v>
      </c>
    </row>
    <row r="19">
      <c r="A19" t="inlineStr">
        <is>
          <t>CZ8119-713767-00845451-4/1U</t>
        </is>
      </c>
      <c r="B19" t="inlineStr">
        <is>
          <t>UCOV Ostrava - Privoz</t>
        </is>
      </c>
      <c r="C19" t="n">
        <v>49.8555</v>
      </c>
      <c r="D19" t="n">
        <v>18.2453</v>
      </c>
      <c r="E19" t="n">
        <v>638850</v>
      </c>
    </row>
    <row r="20">
      <c r="A20" t="inlineStr">
        <is>
          <t>BGWT56784_00_01</t>
        </is>
      </c>
      <c r="B20" t="inlineStr">
        <is>
          <t>UWWTP Plovdiv</t>
        </is>
      </c>
      <c r="C20" t="n">
        <v>42.1402</v>
      </c>
      <c r="D20" t="n">
        <v>24.81494</v>
      </c>
      <c r="E20" t="n">
        <v>596000</v>
      </c>
    </row>
    <row r="21">
      <c r="A21" t="inlineStr">
        <is>
          <t>DETP_HB18-1</t>
        </is>
      </c>
      <c r="B21" t="inlineStr">
        <is>
          <t>Kläranlage Seehausen</t>
        </is>
      </c>
      <c r="C21" t="n">
        <v>53.1159</v>
      </c>
      <c r="D21" t="n">
        <v>8.715070000000001</v>
      </c>
      <c r="E21" t="n">
        <v>1000000</v>
      </c>
    </row>
    <row r="22">
      <c r="A22" t="inlineStr">
        <is>
          <t>DETP_ST151541000001</t>
        </is>
      </c>
      <c r="B22" t="inlineStr">
        <is>
          <t>Bitterfeld-Wolfen</t>
        </is>
      </c>
      <c r="C22" t="n">
        <v>51.66339</v>
      </c>
      <c r="D22" t="n">
        <v>12.2875</v>
      </c>
      <c r="E22" t="n">
        <v>525000</v>
      </c>
    </row>
    <row r="23">
      <c r="A23" t="inlineStr">
        <is>
          <t>DETP_NW904</t>
        </is>
      </c>
      <c r="B23" t="inlineStr">
        <is>
          <t>Duisburg-Kaßlerfeld</t>
        </is>
      </c>
      <c r="C23" t="n">
        <v>51.4438</v>
      </c>
      <c r="D23" t="n">
        <v>6.73166</v>
      </c>
      <c r="E23" t="n">
        <v>450000</v>
      </c>
    </row>
    <row r="24">
      <c r="A24" t="inlineStr">
        <is>
          <t>PLWL0011</t>
        </is>
      </c>
      <c r="B24" t="inlineStr">
        <is>
          <t>Centralna Oczyszczalnia Ścieków w Koziegłowach</t>
        </is>
      </c>
      <c r="C24" t="n">
        <v>52.4511132</v>
      </c>
      <c r="D24" t="n">
        <v>16.98052986</v>
      </c>
      <c r="E24" t="n">
        <v>1200000</v>
      </c>
    </row>
    <row r="25">
      <c r="A25" t="inlineStr">
        <is>
          <t>RO2GL_51</t>
        </is>
      </c>
      <c r="B25" t="inlineStr">
        <is>
          <t>ROWP GALATI</t>
        </is>
      </c>
      <c r="C25" t="n">
        <v>45.406389</v>
      </c>
      <c r="D25" t="n">
        <v>28.002566</v>
      </c>
      <c r="E25" t="n">
        <v>369000</v>
      </c>
    </row>
    <row r="26">
      <c r="A26" t="inlineStr">
        <is>
          <t>DETP_BW2125100000014</t>
        </is>
      </c>
      <c r="B26" t="inlineStr">
        <is>
          <t>SKA Karlsruhe Neureut</t>
        </is>
      </c>
      <c r="C26" t="n">
        <v>49.0445</v>
      </c>
      <c r="D26" t="n">
        <v>8.359389999999999</v>
      </c>
      <c r="E26" t="n">
        <v>875000</v>
      </c>
    </row>
    <row r="27">
      <c r="A27" t="inlineStr">
        <is>
          <t>ATTP_6-M3631054R0</t>
        </is>
      </c>
      <c r="B27" t="inlineStr">
        <is>
          <t>Gratkorn</t>
        </is>
      </c>
      <c r="C27" t="n">
        <v>47.124132</v>
      </c>
      <c r="D27" t="n">
        <v>15.342714</v>
      </c>
      <c r="E27" t="n">
        <v>533000</v>
      </c>
    </row>
    <row r="28">
      <c r="A28" t="inlineStr">
        <is>
          <t>IT05000000000043</t>
        </is>
      </c>
      <c r="B28" t="inlineStr">
        <is>
          <t>Arzignano_Via_Altura</t>
        </is>
      </c>
      <c r="C28" t="n">
        <v>45.502</v>
      </c>
      <c r="D28" t="n">
        <v>11.377</v>
      </c>
      <c r="E28" t="n">
        <v>2360000</v>
      </c>
    </row>
    <row r="29">
      <c r="A29" t="inlineStr">
        <is>
          <t>DETP_NW906</t>
        </is>
      </c>
      <c r="B29" t="inlineStr">
        <is>
          <t>Duisburg-Alte Emscher</t>
        </is>
      </c>
      <c r="C29" t="n">
        <v>51.4915</v>
      </c>
      <c r="D29" t="n">
        <v>6.72214</v>
      </c>
      <c r="E29" t="n">
        <v>500000</v>
      </c>
    </row>
    <row r="30">
      <c r="A30" t="inlineStr">
        <is>
          <t>DETP_HE064140000101</t>
        </is>
      </c>
      <c r="B30" t="inlineStr">
        <is>
          <t>Wiesbaden / Mitte</t>
        </is>
      </c>
      <c r="C30" t="n">
        <v>50.0556</v>
      </c>
      <c r="D30" t="n">
        <v>8.252929999999999</v>
      </c>
      <c r="E30" t="n">
        <v>330000</v>
      </c>
    </row>
    <row r="31">
      <c r="A31" t="inlineStr">
        <is>
          <t>DETP_NW905</t>
        </is>
      </c>
      <c r="B31" t="inlineStr">
        <is>
          <t>Emscherkläranlage</t>
        </is>
      </c>
      <c r="C31" t="n">
        <v>51.5357</v>
      </c>
      <c r="D31" t="n">
        <v>6.77614</v>
      </c>
      <c r="E31" t="n">
        <v>1386600</v>
      </c>
    </row>
    <row r="32">
      <c r="A32" t="inlineStr">
        <is>
          <t>ATTP_6-M3489301R0</t>
        </is>
      </c>
      <c r="B32" t="inlineStr">
        <is>
          <t>Graz-Gössendorf</t>
        </is>
      </c>
      <c r="C32" t="n">
        <v>46.9963889758</v>
      </c>
      <c r="D32" t="n">
        <v>15.4720276734</v>
      </c>
      <c r="E32" t="n">
        <v>500000</v>
      </c>
    </row>
    <row r="33">
      <c r="A33" t="inlineStr">
        <is>
          <t>DETP_BYM-K0001</t>
        </is>
      </c>
      <c r="B33" t="inlineStr">
        <is>
          <t>München II - Gut Marienhof</t>
        </is>
      </c>
      <c r="C33" t="n">
        <v>48.2949</v>
      </c>
      <c r="D33" t="n">
        <v>11.6988</v>
      </c>
      <c r="E33" t="n">
        <v>1000000</v>
      </c>
    </row>
    <row r="34">
      <c r="A34" t="inlineStr">
        <is>
          <t>IT03160128000457</t>
        </is>
      </c>
      <c r="B34" t="inlineStr">
        <is>
          <t>Dp01514602_Milano_S_Rocco</t>
        </is>
      </c>
      <c r="C34" t="n">
        <v>45.3932490925</v>
      </c>
      <c r="D34" t="n">
        <v>9.1836996625</v>
      </c>
      <c r="E34" t="n">
        <v>1050000</v>
      </c>
    </row>
    <row r="35">
      <c r="A35" t="inlineStr">
        <is>
          <t>ES16200690005010E</t>
        </is>
      </c>
      <c r="B35" t="inlineStr">
        <is>
          <t>Loiola</t>
        </is>
      </c>
      <c r="C35" t="n">
        <v>43.3</v>
      </c>
      <c r="D35" t="n">
        <v>-1.961</v>
      </c>
      <c r="E35" t="n">
        <v>628000</v>
      </c>
    </row>
    <row r="36">
      <c r="A36" t="inlineStr">
        <is>
          <t>PLMP0016</t>
        </is>
      </c>
      <c r="B36" t="inlineStr">
        <is>
          <t>Kraków-Kujawy</t>
        </is>
      </c>
      <c r="C36" t="n">
        <v>50.0527</v>
      </c>
      <c r="D36" t="n">
        <v>20.1048</v>
      </c>
      <c r="E36" t="n">
        <v>373000</v>
      </c>
    </row>
    <row r="37">
      <c r="A37" t="inlineStr">
        <is>
          <t>DETP_NW1502</t>
        </is>
      </c>
      <c r="B37" t="inlineStr">
        <is>
          <t>Bottrop</t>
        </is>
      </c>
      <c r="C37" t="n">
        <v>51.5109</v>
      </c>
      <c r="D37" t="n">
        <v>6.98092</v>
      </c>
      <c r="E37" t="n">
        <v>1340000</v>
      </c>
    </row>
    <row r="38">
      <c r="A38" t="inlineStr">
        <is>
          <t>DETP_RP102380095</t>
        </is>
      </c>
      <c r="B38" t="inlineStr">
        <is>
          <t>Mainz</t>
        </is>
      </c>
      <c r="C38" t="n">
        <v>50.0308</v>
      </c>
      <c r="D38" t="n">
        <v>8.216989999999999</v>
      </c>
      <c r="E38" t="n">
        <v>400000</v>
      </c>
    </row>
    <row r="39">
      <c r="A39" t="inlineStr">
        <is>
          <t>DETP_BYDON-K0001</t>
        </is>
      </c>
      <c r="B39" t="inlineStr">
        <is>
          <t>Augsburg</t>
        </is>
      </c>
      <c r="C39" t="n">
        <v>48.4137</v>
      </c>
      <c r="D39" t="n">
        <v>10.8884</v>
      </c>
      <c r="E39" t="n">
        <v>600000</v>
      </c>
    </row>
    <row r="40">
      <c r="A40" t="inlineStr">
        <is>
          <t>FR037635102000</t>
        </is>
      </c>
      <c r="B40" t="inlineStr">
        <is>
          <t>LE HAVRE</t>
        </is>
      </c>
      <c r="C40" t="n">
        <v>49.477971737</v>
      </c>
      <c r="D40" t="n">
        <v>0.1518600496</v>
      </c>
      <c r="E40" t="n">
        <v>322000</v>
      </c>
    </row>
    <row r="41">
      <c r="A41" t="inlineStr">
        <is>
          <t>IT03160128000456</t>
        </is>
      </c>
      <c r="B41" t="inlineStr">
        <is>
          <t>Dp01514601_Milano_Nosedo</t>
        </is>
      </c>
      <c r="C41" t="n">
        <v>45.4264136809</v>
      </c>
      <c r="D41" t="n">
        <v>9.2217094389</v>
      </c>
      <c r="E41" t="n">
        <v>1250000</v>
      </c>
    </row>
    <row r="42">
      <c r="A42" t="inlineStr">
        <is>
          <t>UKENNE_NU_TP000012</t>
        </is>
      </c>
      <c r="B42" t="inlineStr">
        <is>
          <t>MIDDLESBOROUGH   STW</t>
        </is>
      </c>
      <c r="C42" t="n">
        <v>54.60887353</v>
      </c>
      <c r="D42" t="n">
        <v>-1.132672953</v>
      </c>
      <c r="E42" t="n">
        <v>568783</v>
      </c>
    </row>
    <row r="43">
      <c r="A43" t="inlineStr">
        <is>
          <t>UKENNE_YW_TP000098</t>
        </is>
      </c>
      <c r="B43" t="inlineStr">
        <is>
          <t>LEEDS (KNOSTROP) STW</t>
        </is>
      </c>
      <c r="C43" t="n">
        <v>53.779774</v>
      </c>
      <c r="D43" t="n">
        <v>-1.489746</v>
      </c>
      <c r="E43" t="n">
        <v>872627</v>
      </c>
    </row>
    <row r="44">
      <c r="A44" t="inlineStr">
        <is>
          <t>FIJVP_O000000000036</t>
        </is>
      </c>
      <c r="B44" t="inlineStr">
        <is>
          <t>TP (36) of Helsingin kt.</t>
        </is>
      </c>
      <c r="C44" t="n">
        <v>60.15087</v>
      </c>
      <c r="D44" t="n">
        <v>24.71294</v>
      </c>
      <c r="E44" t="n">
        <v>336000</v>
      </c>
    </row>
    <row r="45">
      <c r="A45" t="inlineStr">
        <is>
          <t>PLMP0020</t>
        </is>
      </c>
      <c r="B45" t="inlineStr">
        <is>
          <t>Tarnów</t>
        </is>
      </c>
      <c r="C45" t="n">
        <v>50.02739954</v>
      </c>
      <c r="D45" t="n">
        <v>20.93956188</v>
      </c>
      <c r="E45" t="n">
        <v>460800</v>
      </c>
    </row>
    <row r="46">
      <c r="A46" t="inlineStr">
        <is>
          <t>DETP_BB239</t>
        </is>
      </c>
      <c r="B46" t="inlineStr">
        <is>
          <t>Stahnsdorf</t>
        </is>
      </c>
      <c r="C46" t="n">
        <v>52.377</v>
      </c>
      <c r="D46" t="n">
        <v>13.2482</v>
      </c>
      <c r="E46" t="n">
        <v>317000</v>
      </c>
    </row>
    <row r="47">
      <c r="A47" t="inlineStr">
        <is>
          <t>NL25021</t>
        </is>
      </c>
      <c r="B47" t="inlineStr">
        <is>
          <t>UWWTP BATH</t>
        </is>
      </c>
      <c r="C47" t="n">
        <v>51.39941666</v>
      </c>
      <c r="D47" t="n">
        <v>4.24661666</v>
      </c>
      <c r="E47" t="n">
        <v>353610</v>
      </c>
    </row>
    <row r="48">
      <c r="A48" t="inlineStr">
        <is>
          <t>NL16010</t>
        </is>
      </c>
      <c r="B48" t="inlineStr">
        <is>
          <t>UWWTP KRALINGSEVEER</t>
        </is>
      </c>
      <c r="C48" t="n">
        <v>51.90855</v>
      </c>
      <c r="D48" t="n">
        <v>4.54195</v>
      </c>
      <c r="E48" t="n">
        <v>324000</v>
      </c>
    </row>
    <row r="49">
      <c r="A49" t="inlineStr">
        <is>
          <t>PLPM0110</t>
        </is>
      </c>
      <c r="B49" t="inlineStr">
        <is>
          <t>International Paper-Kwidzyn Sp z o.o.</t>
        </is>
      </c>
      <c r="C49" t="n">
        <v>53.70720628</v>
      </c>
      <c r="D49" t="n">
        <v>18.92595846</v>
      </c>
      <c r="E49" t="n">
        <v>701760</v>
      </c>
    </row>
    <row r="50">
      <c r="A50" t="inlineStr">
        <is>
          <t>PLLO0010</t>
        </is>
      </c>
      <c r="B50" t="inlineStr">
        <is>
          <t>Goś Łam</t>
        </is>
      </c>
      <c r="C50" t="n">
        <v>51.728</v>
      </c>
      <c r="D50" t="n">
        <v>19.3477</v>
      </c>
      <c r="E50" t="n">
        <v>1026260</v>
      </c>
    </row>
    <row r="51">
      <c r="A51" t="inlineStr">
        <is>
          <t>PLKP0011</t>
        </is>
      </c>
      <c r="B51" t="inlineStr">
        <is>
          <t>Toruń Centralna Oczyszczalnia Ścieków</t>
        </is>
      </c>
      <c r="C51" t="n">
        <v>53.0151</v>
      </c>
      <c r="D51" t="n">
        <v>18.5441</v>
      </c>
      <c r="E51" t="n">
        <v>447000</v>
      </c>
    </row>
    <row r="52">
      <c r="A52" t="inlineStr">
        <is>
          <t>DETP_BE01</t>
        </is>
      </c>
      <c r="B52" t="inlineStr">
        <is>
          <t>Ruhleben</t>
        </is>
      </c>
      <c r="C52" t="n">
        <v>52.5316</v>
      </c>
      <c r="D52" t="n">
        <v>13.2317</v>
      </c>
      <c r="E52" t="n">
        <v>1600000</v>
      </c>
    </row>
    <row r="53">
      <c r="A53" t="inlineStr">
        <is>
          <t>DETP_BW2215100000002</t>
        </is>
      </c>
      <c r="B53" t="inlineStr">
        <is>
          <t>SKA AZV Heidelberg</t>
        </is>
      </c>
      <c r="C53" t="n">
        <v>49.4351</v>
      </c>
      <c r="D53" t="n">
        <v>8.65141</v>
      </c>
      <c r="E53" t="n">
        <v>360000</v>
      </c>
    </row>
    <row r="54">
      <c r="A54" t="inlineStr">
        <is>
          <t>BGWT68134_00_01</t>
        </is>
      </c>
      <c r="B54" t="inlineStr">
        <is>
          <t>UWWTP Sofia</t>
        </is>
      </c>
      <c r="C54" t="n">
        <v>42.75628</v>
      </c>
      <c r="D54" t="n">
        <v>23.36976</v>
      </c>
      <c r="E54" t="n">
        <v>1833333</v>
      </c>
    </row>
    <row r="55">
      <c r="A55" t="inlineStr">
        <is>
          <t>PLPM0010</t>
        </is>
      </c>
      <c r="B55" t="inlineStr">
        <is>
          <t>Gdańsk-Wschód</t>
        </is>
      </c>
      <c r="C55" t="n">
        <v>54.3414518</v>
      </c>
      <c r="D55" t="n">
        <v>18.7580966</v>
      </c>
      <c r="E55" t="n">
        <v>860000</v>
      </c>
    </row>
    <row r="56">
      <c r="A56" t="inlineStr">
        <is>
          <t>DETP_HE064120006011</t>
        </is>
      </c>
      <c r="B56" t="inlineStr">
        <is>
          <t>Frankfurt am Main / Sindlingen</t>
        </is>
      </c>
      <c r="C56" t="n">
        <v>50.0647</v>
      </c>
      <c r="D56" t="n">
        <v>8.523759999999999</v>
      </c>
      <c r="E56" t="n">
        <v>470000</v>
      </c>
    </row>
    <row r="57">
      <c r="A57" t="inlineStr">
        <is>
          <t>ES1210410001010E</t>
        </is>
      </c>
      <c r="B57" t="inlineStr">
        <is>
          <t>HUELVA</t>
        </is>
      </c>
      <c r="C57" t="n">
        <v>37.24835</v>
      </c>
      <c r="D57" t="n">
        <v>-6.93224</v>
      </c>
      <c r="E57" t="n">
        <v>311400</v>
      </c>
    </row>
    <row r="58">
      <c r="A58" t="inlineStr">
        <is>
          <t>IT05000000000213</t>
        </is>
      </c>
      <c r="B58" t="inlineStr">
        <is>
          <t>Venezia_Fusina_Via_Dei_Cantieri</t>
        </is>
      </c>
      <c r="C58" t="n">
        <v>45.431</v>
      </c>
      <c r="D58" t="n">
        <v>12.251</v>
      </c>
      <c r="E58" t="n">
        <v>400000</v>
      </c>
    </row>
    <row r="59">
      <c r="A59" t="inlineStr">
        <is>
          <t>NL31005</t>
        </is>
      </c>
      <c r="B59" t="inlineStr">
        <is>
          <t>UWWTP AMSTERDAN-WESTPOORT</t>
        </is>
      </c>
      <c r="C59" t="n">
        <v>52.41321666</v>
      </c>
      <c r="D59" t="n">
        <v>4.80223333</v>
      </c>
      <c r="E59" t="n">
        <v>361800</v>
      </c>
    </row>
    <row r="60">
      <c r="A60" t="inlineStr">
        <is>
          <t>NL15008</t>
        </is>
      </c>
      <c r="B60" t="inlineStr">
        <is>
          <t>UWWTP HARNASCHPOLDER</t>
        </is>
      </c>
      <c r="C60" t="n">
        <v>52.0154</v>
      </c>
      <c r="D60" t="n">
        <v>4.31888333</v>
      </c>
      <c r="E60" t="n">
        <v>696636</v>
      </c>
    </row>
    <row r="61">
      <c r="A61" t="inlineStr">
        <is>
          <t>UKENTH_TWU_TP000125</t>
        </is>
      </c>
      <c r="B61" t="inlineStr">
        <is>
          <t>LONDON (Riverside STW)</t>
        </is>
      </c>
      <c r="C61" t="n">
        <v>51.51572343</v>
      </c>
      <c r="D61" t="n">
        <v>0.181996947</v>
      </c>
      <c r="E61" t="n">
        <v>428596</v>
      </c>
    </row>
    <row r="62">
      <c r="A62" t="inlineStr">
        <is>
          <t>UKENNE_YW_TP000095</t>
        </is>
      </c>
      <c r="B62" t="inlineStr">
        <is>
          <t>HULL STW</t>
        </is>
      </c>
      <c r="C62" t="n">
        <v>53.74502678</v>
      </c>
      <c r="D62" t="n">
        <v>-0.238219654</v>
      </c>
      <c r="E62" t="n">
        <v>550794</v>
      </c>
    </row>
    <row r="63">
      <c r="A63" t="inlineStr">
        <is>
          <t>DETP_NW1</t>
        </is>
      </c>
      <c r="B63" t="inlineStr">
        <is>
          <t>Aachen-Soers</t>
        </is>
      </c>
      <c r="C63" t="n">
        <v>50.8085</v>
      </c>
      <c r="D63" t="n">
        <v>6.10417</v>
      </c>
      <c r="E63" t="n">
        <v>458000</v>
      </c>
    </row>
    <row r="64">
      <c r="A64" t="inlineStr">
        <is>
          <t>HU-WWTP-AIA440</t>
        </is>
      </c>
      <c r="B64" t="inlineStr">
        <is>
          <t>Budapest (Eszak Pest) - Szennyviztisztito Telep</t>
        </is>
      </c>
      <c r="C64" t="n">
        <v>47.570347</v>
      </c>
      <c r="D64" t="n">
        <v>19.068254</v>
      </c>
      <c r="E64" t="n">
        <v>1333333</v>
      </c>
    </row>
    <row r="65">
      <c r="A65" t="inlineStr">
        <is>
          <t>IT08000000000007</t>
        </is>
      </c>
      <c r="B65" t="inlineStr">
        <is>
          <t>Bologna_Corticella</t>
        </is>
      </c>
      <c r="C65" t="n">
        <v>44.55268</v>
      </c>
      <c r="D65" t="n">
        <v>11.36213</v>
      </c>
      <c r="E65" t="n">
        <v>800000</v>
      </c>
    </row>
    <row r="66">
      <c r="A66" t="inlineStr">
        <is>
          <t>PLPM0020</t>
        </is>
      </c>
      <c r="B66" t="inlineStr">
        <is>
          <t>Goś Dębogórze</t>
        </is>
      </c>
      <c r="C66" t="n">
        <v>54.5789</v>
      </c>
      <c r="D66" t="n">
        <v>18.4314</v>
      </c>
      <c r="E66" t="n">
        <v>550000</v>
      </c>
    </row>
    <row r="67">
      <c r="A67" t="inlineStr">
        <is>
          <t>DETP_ST152611000039</t>
        </is>
      </c>
      <c r="B67" t="inlineStr">
        <is>
          <t>Schkopau</t>
        </is>
      </c>
      <c r="C67" t="n">
        <v>51.4066</v>
      </c>
      <c r="D67" t="n">
        <v>11.9549</v>
      </c>
      <c r="E67" t="n">
        <v>400000</v>
      </c>
    </row>
    <row r="68">
      <c r="A68" t="inlineStr">
        <is>
          <t>HRUWWTP_0004008_001</t>
        </is>
      </c>
      <c r="B68" t="inlineStr">
        <is>
          <t>Zagreb</t>
        </is>
      </c>
      <c r="C68" t="n">
        <v>45.7925</v>
      </c>
      <c r="D68" t="n">
        <v>16.0819</v>
      </c>
      <c r="E68" t="n">
        <v>1200000</v>
      </c>
    </row>
    <row r="69">
      <c r="A69" t="inlineStr">
        <is>
          <t>UKENTH_TWU_TP000102</t>
        </is>
      </c>
      <c r="B69" t="inlineStr">
        <is>
          <t>LONDON (Long Reach STW)</t>
        </is>
      </c>
      <c r="C69" t="n">
        <v>51.46789014</v>
      </c>
      <c r="D69" t="n">
        <v>0.238747466</v>
      </c>
      <c r="E69" t="n">
        <v>919899</v>
      </c>
    </row>
    <row r="70">
      <c r="A70" t="inlineStr">
        <is>
          <t>PLLO0030</t>
        </is>
      </c>
      <c r="B70" t="inlineStr">
        <is>
          <t>Kutno</t>
        </is>
      </c>
      <c r="C70" t="n">
        <v>52.2097</v>
      </c>
      <c r="D70" t="n">
        <v>19.4178</v>
      </c>
      <c r="E70" t="n">
        <v>337759</v>
      </c>
    </row>
    <row r="71">
      <c r="A71" t="inlineStr">
        <is>
          <t>FR026830000459</t>
        </is>
      </c>
      <c r="B71" t="inlineStr">
        <is>
          <t>SAUSHEIM</t>
        </is>
      </c>
      <c r="C71" t="n">
        <v>47.7774439835</v>
      </c>
      <c r="D71" t="n">
        <v>7.4040298184</v>
      </c>
      <c r="E71" t="n">
        <v>490000</v>
      </c>
    </row>
    <row r="72">
      <c r="A72" t="inlineStr">
        <is>
          <t>RO7BV_511</t>
        </is>
      </c>
      <c r="B72" t="inlineStr">
        <is>
          <t>ROWP SC COMPANIA APA SA Brasov</t>
        </is>
      </c>
      <c r="C72" t="n">
        <v>45.681905</v>
      </c>
      <c r="D72" t="n">
        <v>25.57339</v>
      </c>
      <c r="E72" t="n">
        <v>561600</v>
      </c>
    </row>
    <row r="73">
      <c r="A73" t="inlineStr">
        <is>
          <t>ATTP_5-A1699622R154</t>
        </is>
      </c>
      <c r="B73" t="inlineStr">
        <is>
          <t>ARA Siggerwiesen</t>
        </is>
      </c>
      <c r="C73" t="n">
        <v>47.8597442357</v>
      </c>
      <c r="D73" t="n">
        <v>13.0025239708</v>
      </c>
      <c r="E73" t="n">
        <v>680000</v>
      </c>
    </row>
    <row r="74">
      <c r="A74" t="inlineStr">
        <is>
          <t>ES10030140002012E</t>
        </is>
      </c>
      <c r="B74" t="inlineStr">
        <is>
          <t>RINCON DE LEON</t>
        </is>
      </c>
      <c r="C74" t="n">
        <v>38.335124</v>
      </c>
      <c r="D74" t="n">
        <v>-0.52361</v>
      </c>
      <c r="E74" t="n">
        <v>562500</v>
      </c>
    </row>
    <row r="75">
      <c r="A75" t="inlineStr">
        <is>
          <t>DETP_BW1115100000001</t>
        </is>
      </c>
      <c r="B75" t="inlineStr">
        <is>
          <t>Hauptklärwerk Mühlhausen</t>
        </is>
      </c>
      <c r="C75" t="n">
        <v>48.8468</v>
      </c>
      <c r="D75" t="n">
        <v>9.241400000000001</v>
      </c>
      <c r="E75" t="n">
        <v>1200000</v>
      </c>
    </row>
    <row r="76">
      <c r="A76" t="inlineStr">
        <is>
          <t>DETP_NI201000201</t>
        </is>
      </c>
      <c r="B76" t="inlineStr">
        <is>
          <t>2530002102 KA Herrenhausen</t>
        </is>
      </c>
      <c r="C76" t="n">
        <v>52.3968</v>
      </c>
      <c r="D76" t="n">
        <v>9.661479999999999</v>
      </c>
      <c r="E76" t="n">
        <v>500000</v>
      </c>
    </row>
    <row r="77">
      <c r="A77" t="inlineStr">
        <is>
          <t>FR037649801000</t>
        </is>
      </c>
      <c r="B77" t="inlineStr">
        <is>
          <t>ROUEN</t>
        </is>
      </c>
      <c r="C77" t="n">
        <v>49.428625</v>
      </c>
      <c r="D77" t="n">
        <v>1.04236132</v>
      </c>
      <c r="E77" t="n">
        <v>550000</v>
      </c>
    </row>
    <row r="78">
      <c r="A78" t="inlineStr">
        <is>
          <t>UKENTH_TWU_TP000014</t>
        </is>
      </c>
      <c r="B78" t="inlineStr">
        <is>
          <t>LONDON (Becton STW)</t>
        </is>
      </c>
      <c r="C78" t="n">
        <v>51.5152403</v>
      </c>
      <c r="D78" t="n">
        <v>0.095062176</v>
      </c>
      <c r="E78" t="n">
        <v>3578977</v>
      </c>
    </row>
    <row r="79">
      <c r="A79" t="inlineStr">
        <is>
          <t>DETP_SH56027</t>
        </is>
      </c>
      <c r="B79" t="inlineStr">
        <is>
          <t>Hetlingen</t>
        </is>
      </c>
      <c r="C79" t="n">
        <v>53.598</v>
      </c>
      <c r="D79" t="n">
        <v>9.60765</v>
      </c>
      <c r="E79" t="n">
        <v>860000</v>
      </c>
    </row>
    <row r="80">
      <c r="A80" t="inlineStr">
        <is>
          <t>ES9082110001010E</t>
        </is>
      </c>
      <c r="B80" t="inlineStr">
        <is>
          <t>SANT FELIU DE LLOBREGAT</t>
        </is>
      </c>
      <c r="C80" t="n">
        <v>41.38139</v>
      </c>
      <c r="D80" t="n">
        <v>2.03335</v>
      </c>
      <c r="E80" t="n">
        <v>373333</v>
      </c>
    </row>
    <row r="81">
      <c r="A81" t="inlineStr">
        <is>
          <t>ES1410910002013E</t>
        </is>
      </c>
      <c r="B81" t="inlineStr">
        <is>
          <t>LA RANILLA</t>
        </is>
      </c>
      <c r="C81" t="n">
        <v>37.36661</v>
      </c>
      <c r="D81" t="n">
        <v>-5.92902</v>
      </c>
      <c r="E81" t="n">
        <v>350000</v>
      </c>
    </row>
    <row r="82">
      <c r="A82" t="inlineStr">
        <is>
          <t>ATTP_3-11</t>
        </is>
      </c>
      <c r="B82" t="inlineStr">
        <is>
          <t>ARA AWV Schwechat</t>
        </is>
      </c>
      <c r="C82" t="n">
        <v>48.1345834227</v>
      </c>
      <c r="D82" t="n">
        <v>16.5412221164</v>
      </c>
      <c r="E82" t="n">
        <v>370000</v>
      </c>
    </row>
    <row r="83">
      <c r="A83" t="inlineStr">
        <is>
          <t>EL300001011</t>
        </is>
      </c>
      <c r="B83" t="inlineStr">
        <is>
          <t>PSYTTALIA</t>
        </is>
      </c>
      <c r="C83" t="n">
        <v>37.9384322</v>
      </c>
      <c r="D83" t="n">
        <v>23.58396887</v>
      </c>
      <c r="E83" t="n">
        <v>5630000</v>
      </c>
    </row>
    <row r="84">
      <c r="A84" t="inlineStr">
        <is>
          <t>BERW6207901</t>
        </is>
      </c>
      <c r="B84" t="inlineStr">
        <is>
          <t>LIEGE OUPEYE</t>
        </is>
      </c>
      <c r="C84" t="n">
        <v>50.7218</v>
      </c>
      <c r="D84" t="n">
        <v>5.669</v>
      </c>
      <c r="E84" t="n">
        <v>401850</v>
      </c>
    </row>
    <row r="85">
      <c r="A85" t="inlineStr">
        <is>
          <t>DETP_NW35</t>
        </is>
      </c>
      <c r="B85" t="inlineStr">
        <is>
          <t>Düren</t>
        </is>
      </c>
      <c r="C85" t="n">
        <v>50.8408</v>
      </c>
      <c r="D85" t="n">
        <v>6.44171</v>
      </c>
      <c r="E85" t="n">
        <v>310000</v>
      </c>
    </row>
    <row r="86">
      <c r="A86" t="inlineStr">
        <is>
          <t>IETP_D0034</t>
        </is>
      </c>
      <c r="B86" t="inlineStr">
        <is>
          <t>Ringsend</t>
        </is>
      </c>
      <c r="C86" t="n">
        <v>53.338528</v>
      </c>
      <c r="D86" t="n">
        <v>-6.1963557</v>
      </c>
      <c r="E86" t="n">
        <v>1640000</v>
      </c>
    </row>
    <row r="87">
      <c r="A87" t="inlineStr">
        <is>
          <t>UKENAN_AW_TP000308</t>
        </is>
      </c>
      <c r="B87" t="inlineStr">
        <is>
          <t>TILBURY STW, TILBURY, ESSEX"</t>
        </is>
      </c>
      <c r="C87" t="n">
        <v>51.45673581</v>
      </c>
      <c r="D87" t="n">
        <v>0.378611691</v>
      </c>
      <c r="E87" t="n">
        <v>325000</v>
      </c>
    </row>
    <row r="88">
      <c r="A88" t="inlineStr">
        <is>
          <t>DETP_NW316</t>
        </is>
      </c>
      <c r="B88" t="inlineStr">
        <is>
          <t>Abwasserverband Obere Lutter</t>
        </is>
      </c>
      <c r="C88" t="n">
        <v>51.9451</v>
      </c>
      <c r="D88" t="n">
        <v>8.38233</v>
      </c>
      <c r="E88" t="n">
        <v>380000</v>
      </c>
    </row>
    <row r="89">
      <c r="A89" t="inlineStr">
        <is>
          <t>FR026751900405</t>
        </is>
      </c>
      <c r="B89" t="inlineStr">
        <is>
          <t>STRASBOURG - LA WANTZENAU</t>
        </is>
      </c>
      <c r="C89" t="n">
        <v>48.631941401</v>
      </c>
      <c r="D89" t="n">
        <v>7.8324315152</v>
      </c>
      <c r="E89" t="n">
        <v>1000000</v>
      </c>
    </row>
    <row r="90">
      <c r="A90" t="inlineStr">
        <is>
          <t>PLZA0011</t>
        </is>
      </c>
      <c r="B90" t="inlineStr">
        <is>
          <t>Pomorzany</t>
        </is>
      </c>
      <c r="C90" t="n">
        <v>53.4017</v>
      </c>
      <c r="D90" t="n">
        <v>14.5425</v>
      </c>
      <c r="E90" t="n">
        <v>418000</v>
      </c>
    </row>
    <row r="91">
      <c r="A91" t="inlineStr">
        <is>
          <t>DETP_NW1204</t>
        </is>
      </c>
      <c r="B91" t="inlineStr">
        <is>
          <t>Dortmund-Deusen</t>
        </is>
      </c>
      <c r="C91" t="n">
        <v>51.5377</v>
      </c>
      <c r="D91" t="n">
        <v>7.42629</v>
      </c>
      <c r="E91" t="n">
        <v>705000</v>
      </c>
    </row>
    <row r="92">
      <c r="A92" t="inlineStr">
        <is>
          <t>IT19CT00G7001DE001</t>
        </is>
      </c>
      <c r="B92" t="inlineStr">
        <is>
          <t>Impianto_Consortile_Di_Catania</t>
        </is>
      </c>
      <c r="C92" t="n">
        <v>37.44184</v>
      </c>
      <c r="D92" t="n">
        <v>15.04273</v>
      </c>
      <c r="E92" t="n">
        <v>432500</v>
      </c>
    </row>
    <row r="93">
      <c r="A93" t="inlineStr">
        <is>
          <t>FR060934172001</t>
        </is>
      </c>
      <c r="B93" t="inlineStr">
        <is>
          <t>MAERA (EX CEREIREDE)</t>
        </is>
      </c>
      <c r="C93" t="n">
        <v>43.5823571136</v>
      </c>
      <c r="D93" t="n">
        <v>3.906114896</v>
      </c>
      <c r="E93" t="n">
        <v>466667</v>
      </c>
    </row>
    <row r="94">
      <c r="A94" t="inlineStr">
        <is>
          <t>NL11014</t>
        </is>
      </c>
      <c r="B94" t="inlineStr">
        <is>
          <t>UWWTP AMSTERDAM-WEST</t>
        </is>
      </c>
      <c r="C94" t="n">
        <v>52.39901666</v>
      </c>
      <c r="D94" t="n">
        <v>4.78625</v>
      </c>
      <c r="E94" t="n">
        <v>733320</v>
      </c>
    </row>
    <row r="95">
      <c r="A95" t="inlineStr">
        <is>
          <t>ES7240890002010E</t>
        </is>
      </c>
      <c r="B95" t="inlineStr">
        <is>
          <t>LEON</t>
        </is>
      </c>
      <c r="C95" t="n">
        <v>42.55747</v>
      </c>
      <c r="D95" t="n">
        <v>-5.56451</v>
      </c>
      <c r="E95" t="n">
        <v>330000</v>
      </c>
    </row>
    <row r="96">
      <c r="A96" t="inlineStr">
        <is>
          <t>RO5TM_528</t>
        </is>
      </c>
      <c r="B96" t="inlineStr">
        <is>
          <t>ROWP RA Aquatim Timisoara</t>
        </is>
      </c>
      <c r="C96" t="n">
        <v>45.735</v>
      </c>
      <c r="D96" t="n">
        <v>21.173</v>
      </c>
      <c r="E96" t="n">
        <v>440000</v>
      </c>
    </row>
    <row r="97">
      <c r="A97" t="inlineStr">
        <is>
          <t>FR0531555V018</t>
        </is>
      </c>
      <c r="B97" t="inlineStr">
        <is>
          <t>TOULOUSE GINESTOUS</t>
        </is>
      </c>
      <c r="C97" t="n">
        <v>43.6290403443</v>
      </c>
      <c r="D97" t="n">
        <v>1.4177713608</v>
      </c>
      <c r="E97" t="n">
        <v>950000</v>
      </c>
    </row>
    <row r="98">
      <c r="A98" t="inlineStr">
        <is>
          <t>ES10462501014011E</t>
        </is>
      </c>
      <c r="B98" t="inlineStr">
        <is>
          <t>PINEDO 1</t>
        </is>
      </c>
      <c r="C98" t="n">
        <v>39.43153</v>
      </c>
      <c r="D98" t="n">
        <v>-0.344559</v>
      </c>
      <c r="E98" t="n">
        <v>3551146</v>
      </c>
    </row>
    <row r="99">
      <c r="A99" t="inlineStr">
        <is>
          <t>IT09RT0017</t>
        </is>
      </c>
      <c r="B99" t="inlineStr">
        <is>
          <t>Idl_San_Colombano</t>
        </is>
      </c>
      <c r="C99" t="n">
        <v>43.77958</v>
      </c>
      <c r="D99" t="n">
        <v>11.12754</v>
      </c>
      <c r="E99" t="n">
        <v>600000</v>
      </c>
    </row>
    <row r="100">
      <c r="A100" t="inlineStr">
        <is>
          <t>ES10030140002011E</t>
        </is>
      </c>
      <c r="B100" t="inlineStr">
        <is>
          <t>MONTE ORGEGIA</t>
        </is>
      </c>
      <c r="C100" t="n">
        <v>38.383221</v>
      </c>
      <c r="D100" t="n">
        <v>-0.464619</v>
      </c>
      <c r="E100" t="n">
        <v>600000</v>
      </c>
    </row>
    <row r="101">
      <c r="A101" t="inlineStr">
        <is>
          <t>DETP_NW601</t>
        </is>
      </c>
      <c r="B101" t="inlineStr">
        <is>
          <t>Düsseldorf-Süd</t>
        </is>
      </c>
      <c r="C101" t="n">
        <v>51.1941</v>
      </c>
      <c r="D101" t="n">
        <v>6.73894</v>
      </c>
      <c r="E101" t="n">
        <v>1090000</v>
      </c>
    </row>
    <row r="102">
      <c r="A102" t="inlineStr">
        <is>
          <t>EL122001013</t>
        </is>
      </c>
      <c r="B102" t="inlineStr">
        <is>
          <t>THESSALONIKI</t>
        </is>
      </c>
      <c r="C102" t="n">
        <v>40.66084791</v>
      </c>
      <c r="D102" t="n">
        <v>22.83382081</v>
      </c>
      <c r="E102" t="n">
        <v>1333000</v>
      </c>
    </row>
    <row r="103">
      <c r="A103" t="inlineStr">
        <is>
          <t>DETP_NW2104</t>
        </is>
      </c>
      <c r="B103" t="inlineStr">
        <is>
          <t>Mönchengladbach GWK I</t>
        </is>
      </c>
      <c r="C103" t="n">
        <v>51.2431</v>
      </c>
      <c r="D103" t="n">
        <v>6.4643</v>
      </c>
      <c r="E103" t="n">
        <v>632500</v>
      </c>
    </row>
    <row r="104">
      <c r="A104" t="inlineStr">
        <is>
          <t>DK6070012</t>
        </is>
      </c>
      <c r="B104" t="inlineStr">
        <is>
          <t>FREDERICIA CENTRALRENS.</t>
        </is>
      </c>
      <c r="C104" t="n">
        <v>55.55213004</v>
      </c>
      <c r="D104" t="n">
        <v>9.719915889999999</v>
      </c>
      <c r="E104" t="n">
        <v>420000</v>
      </c>
    </row>
    <row r="105">
      <c r="A105" t="inlineStr">
        <is>
          <t>UKENTH_TWU_TP000054</t>
        </is>
      </c>
      <c r="B105" t="inlineStr">
        <is>
          <t>LONDON (Deepham STW)</t>
        </is>
      </c>
      <c r="C105" t="n">
        <v>51.62101927</v>
      </c>
      <c r="D105" t="n">
        <v>-0.041789201</v>
      </c>
      <c r="E105" t="n">
        <v>1071689</v>
      </c>
    </row>
    <row r="106">
      <c r="A106" t="inlineStr">
        <is>
          <t>ES3330242402020E</t>
        </is>
      </c>
      <c r="B106" t="inlineStr">
        <is>
          <t>GIJON OESTE</t>
        </is>
      </c>
      <c r="C106" t="n">
        <v>43.555</v>
      </c>
      <c r="D106" t="n">
        <v>-5.717</v>
      </c>
      <c r="E106" t="n">
        <v>384866</v>
      </c>
    </row>
    <row r="107">
      <c r="A107" t="inlineStr">
        <is>
          <t>FR037800501000</t>
        </is>
      </c>
      <c r="B107" t="inlineStr">
        <is>
          <t>PARIS SEINE AVAL</t>
        </is>
      </c>
      <c r="C107" t="n">
        <v>48.9775386729</v>
      </c>
      <c r="D107" t="n">
        <v>2.1675782003</v>
      </c>
      <c r="E107" t="n">
        <v>7500000</v>
      </c>
    </row>
    <row r="108">
      <c r="A108" t="inlineStr">
        <is>
          <t>CZ4205-763691-26161516-4/1U</t>
        </is>
      </c>
      <c r="B108" t="inlineStr">
        <is>
          <t>COV Steti -Papirny Mondi</t>
        </is>
      </c>
      <c r="C108" t="n">
        <v>50.465</v>
      </c>
      <c r="D108" t="n">
        <v>14.3669</v>
      </c>
      <c r="E108" t="n">
        <v>567000</v>
      </c>
    </row>
    <row r="109">
      <c r="A109" t="inlineStr">
        <is>
          <t>PLLE0010</t>
        </is>
      </c>
      <c r="B109" t="inlineStr">
        <is>
          <t>Lublin-Hajdów</t>
        </is>
      </c>
      <c r="C109" t="n">
        <v>51.2633</v>
      </c>
      <c r="D109" t="n">
        <v>22.6236</v>
      </c>
      <c r="E109" t="n">
        <v>694833</v>
      </c>
    </row>
    <row r="110">
      <c r="A110" t="inlineStr">
        <is>
          <t>LV100175</t>
        </is>
      </c>
      <c r="B110" t="inlineStr">
        <is>
          <t>BAI "Daugavgrīva"</t>
        </is>
      </c>
      <c r="C110" t="n">
        <v>57.026</v>
      </c>
      <c r="D110" t="n">
        <v>24.001</v>
      </c>
      <c r="E110" t="n">
        <v>1030000</v>
      </c>
    </row>
    <row r="111">
      <c r="A111" t="inlineStr">
        <is>
          <t>UKENNW_UU_TP000133</t>
        </is>
      </c>
      <c r="B111" t="inlineStr">
        <is>
          <t>WIGAN (HOSCAR) STW</t>
        </is>
      </c>
      <c r="C111" t="n">
        <v>53.5985267</v>
      </c>
      <c r="D111" t="n">
        <v>-2.784610505</v>
      </c>
      <c r="E111" t="n">
        <v>410498</v>
      </c>
    </row>
    <row r="112">
      <c r="A112" t="inlineStr">
        <is>
          <t>ES6390850005010E</t>
        </is>
      </c>
      <c r="B112" t="inlineStr">
        <is>
          <t>VUELTA OSTRERA</t>
        </is>
      </c>
      <c r="C112" t="n">
        <v>43.40312</v>
      </c>
      <c r="D112" t="n">
        <v>-4.02884</v>
      </c>
      <c r="E112" t="n">
        <v>310000</v>
      </c>
    </row>
    <row r="113">
      <c r="A113" t="inlineStr">
        <is>
          <t>IT15Q15000000002</t>
        </is>
      </c>
      <c r="B113" t="inlineStr">
        <is>
          <t>Orta_Di_Atella_Ce_Impianto_Napoli_Nord</t>
        </is>
      </c>
      <c r="C113" t="n">
        <v>40.9954</v>
      </c>
      <c r="D113" t="n">
        <v>14.2894</v>
      </c>
      <c r="E113" t="n">
        <v>886000</v>
      </c>
    </row>
    <row r="114">
      <c r="A114" t="inlineStr">
        <is>
          <t>FR060969152001</t>
        </is>
      </c>
      <c r="B114" t="inlineStr">
        <is>
          <t>LYON - PIERRE BÉNITE</t>
        </is>
      </c>
      <c r="C114" t="n">
        <v>45.6925110141</v>
      </c>
      <c r="D114" t="n">
        <v>4.8348233813</v>
      </c>
      <c r="E114" t="n">
        <v>950000</v>
      </c>
    </row>
    <row r="115">
      <c r="A115" t="inlineStr">
        <is>
          <t>IT15Q15000000001</t>
        </is>
      </c>
      <c r="B115" t="inlineStr">
        <is>
          <t>Caivano_Depuratore_Di_Acerra</t>
        </is>
      </c>
      <c r="C115" t="n">
        <v>40.9715</v>
      </c>
      <c r="D115" t="n">
        <v>14.3488</v>
      </c>
      <c r="E115" t="n">
        <v>828000</v>
      </c>
    </row>
    <row r="116">
      <c r="A116" t="inlineStr">
        <is>
          <t>CZ6203-697931-46347275-4/1U</t>
        </is>
      </c>
      <c r="B116" t="inlineStr">
        <is>
          <t>COV Brno - Modrice</t>
        </is>
      </c>
      <c r="C116" t="n">
        <v>49.1284</v>
      </c>
      <c r="D116" t="n">
        <v>16.6308</v>
      </c>
      <c r="E116" t="n">
        <v>640000</v>
      </c>
    </row>
    <row r="117">
      <c r="A117" t="inlineStr">
        <is>
          <t>RO1IS_51</t>
        </is>
      </c>
      <c r="B117" t="inlineStr">
        <is>
          <t>ROWP DANCU IASI</t>
        </is>
      </c>
      <c r="C117" t="n">
        <v>47.148496</v>
      </c>
      <c r="D117" t="n">
        <v>27.65861</v>
      </c>
      <c r="E117" t="n">
        <v>1030681</v>
      </c>
    </row>
    <row r="118">
      <c r="A118" t="inlineStr">
        <is>
          <t>DETP_BYAB-K0033</t>
        </is>
      </c>
      <c r="B118" t="inlineStr">
        <is>
          <t>Würzburg</t>
        </is>
      </c>
      <c r="C118" t="n">
        <v>49.7986</v>
      </c>
      <c r="D118" t="n">
        <v>9.89728</v>
      </c>
      <c r="E118" t="n">
        <v>360000</v>
      </c>
    </row>
    <row r="119">
      <c r="A119" t="inlineStr">
        <is>
          <t>HU-WWTP-AIA512</t>
        </is>
      </c>
      <c r="B119" t="inlineStr">
        <is>
          <t>Debrecen - Szennyviztisztito Telep</t>
        </is>
      </c>
      <c r="C119" t="n">
        <v>47.503754</v>
      </c>
      <c r="D119" t="n">
        <v>21.596857</v>
      </c>
      <c r="E119" t="n">
        <v>675000</v>
      </c>
    </row>
    <row r="120">
      <c r="A120" t="inlineStr">
        <is>
          <t>DETP_BW1215100000017</t>
        </is>
      </c>
      <c r="B120" t="inlineStr">
        <is>
          <t>SKA Heilbronn</t>
        </is>
      </c>
      <c r="C120" t="n">
        <v>49.1794</v>
      </c>
      <c r="D120" t="n">
        <v>9.21649</v>
      </c>
      <c r="E120" t="n">
        <v>500000</v>
      </c>
    </row>
    <row r="121">
      <c r="A121" t="inlineStr">
        <is>
          <t>ES1110200014010E</t>
        </is>
      </c>
      <c r="B121" t="inlineStr">
        <is>
          <t>GUADALETE</t>
        </is>
      </c>
      <c r="C121" t="n">
        <v>36.6452</v>
      </c>
      <c r="D121" t="n">
        <v>-6.12837</v>
      </c>
      <c r="E121" t="n">
        <v>864000</v>
      </c>
    </row>
    <row r="122">
      <c r="A122" t="inlineStr">
        <is>
          <t>PLWL1330</t>
        </is>
      </c>
      <c r="B122" t="inlineStr">
        <is>
          <t>Dopiewo</t>
        </is>
      </c>
      <c r="C122" t="n">
        <v>52.3367</v>
      </c>
      <c r="D122" t="n">
        <v>16.6704</v>
      </c>
      <c r="E122" t="n">
        <v>999999</v>
      </c>
    </row>
    <row r="123">
      <c r="A123" t="inlineStr">
        <is>
          <t>DETP_NW2101</t>
        </is>
      </c>
      <c r="B123" t="inlineStr">
        <is>
          <t>Düsseldorf-Nord</t>
        </is>
      </c>
      <c r="C123" t="n">
        <v>51.2781</v>
      </c>
      <c r="D123" t="n">
        <v>6.69058</v>
      </c>
      <c r="E123" t="n">
        <v>600000</v>
      </c>
    </row>
    <row r="124">
      <c r="A124" t="inlineStr">
        <is>
          <t>IT01000000000043</t>
        </is>
      </c>
      <c r="B124" t="inlineStr">
        <is>
          <t>Castiglione</t>
        </is>
      </c>
      <c r="C124" t="n">
        <v>45.1367998672</v>
      </c>
      <c r="D124" t="n">
        <v>7.7977247761</v>
      </c>
      <c r="E124" t="n">
        <v>3840000</v>
      </c>
    </row>
    <row r="125">
      <c r="A125" t="inlineStr">
        <is>
          <t>FR037862401000</t>
        </is>
      </c>
      <c r="B125" t="inlineStr">
        <is>
          <t>PARIS SEINE GRÉSILLONS</t>
        </is>
      </c>
      <c r="C125" t="n">
        <v>48.9524257235</v>
      </c>
      <c r="D125" t="n">
        <v>2.0161380376</v>
      </c>
      <c r="E125" t="n">
        <v>1212000</v>
      </c>
    </row>
    <row r="126">
      <c r="A126" t="inlineStr">
        <is>
          <t>DETP_NW3008</t>
        </is>
      </c>
      <c r="B126" t="inlineStr">
        <is>
          <t>Münster-Hauptkläranlage</t>
        </is>
      </c>
      <c r="C126" t="n">
        <v>52.0081</v>
      </c>
      <c r="D126" t="n">
        <v>7.65195</v>
      </c>
      <c r="E126" t="n">
        <v>335000</v>
      </c>
    </row>
    <row r="127">
      <c r="A127" t="inlineStr">
        <is>
          <t>DETP_NW2138</t>
        </is>
      </c>
      <c r="B127" t="inlineStr">
        <is>
          <t>Neuss-Ost</t>
        </is>
      </c>
      <c r="C127" t="n">
        <v>51.2043</v>
      </c>
      <c r="D127" t="n">
        <v>6.72024</v>
      </c>
      <c r="E127" t="n">
        <v>420000</v>
      </c>
    </row>
    <row r="128">
      <c r="A128" t="inlineStr">
        <is>
          <t>ES6390750005010E</t>
        </is>
      </c>
      <c r="B128" t="inlineStr">
        <is>
          <t>SAN ROMÁN</t>
        </is>
      </c>
      <c r="C128" t="n">
        <v>43.47373</v>
      </c>
      <c r="D128" t="n">
        <v>-3.85333</v>
      </c>
      <c r="E128" t="n">
        <v>428000</v>
      </c>
    </row>
    <row r="129">
      <c r="A129" t="inlineStr">
        <is>
          <t>UKENTH_TWU_TP000052</t>
        </is>
      </c>
      <c r="B129" t="inlineStr">
        <is>
          <t>LONDON (Crossness STW)</t>
        </is>
      </c>
      <c r="C129" t="n">
        <v>51.50675072</v>
      </c>
      <c r="D129" t="n">
        <v>0.146795464</v>
      </c>
      <c r="E129" t="n">
        <v>2139184</v>
      </c>
    </row>
    <row r="130">
      <c r="A130" t="inlineStr">
        <is>
          <t>IT19SR00G7002DE001</t>
        </is>
      </c>
      <c r="B130" t="inlineStr">
        <is>
          <t>Impianto_C_Da_Magnisi_Casale_Vecchie_Saline_Depuratore_Ias_Priolo</t>
        </is>
      </c>
      <c r="C130" t="n">
        <v>37.14974</v>
      </c>
      <c r="D130" t="n">
        <v>15.208</v>
      </c>
      <c r="E130" t="n">
        <v>750000</v>
      </c>
    </row>
    <row r="131">
      <c r="A131" t="inlineStr">
        <is>
          <t>PLDO0011</t>
        </is>
      </c>
      <c r="B131" t="inlineStr">
        <is>
          <t>Wrocławska Oczyszczalnia Ścieków</t>
        </is>
      </c>
      <c r="C131" t="n">
        <v>51.1936</v>
      </c>
      <c r="D131" t="n">
        <v>16.9088</v>
      </c>
      <c r="E131" t="n">
        <v>1050000</v>
      </c>
    </row>
    <row r="132">
      <c r="A132" t="inlineStr">
        <is>
          <t>ES9082790004050E</t>
        </is>
      </c>
      <c r="B132" t="inlineStr">
        <is>
          <t>TERRASSA</t>
        </is>
      </c>
      <c r="C132" t="n">
        <v>41.51974</v>
      </c>
      <c r="D132" t="n">
        <v>2.03559</v>
      </c>
      <c r="E132" t="n">
        <v>400000</v>
      </c>
    </row>
    <row r="133">
      <c r="A133" t="inlineStr">
        <is>
          <t>UKENNW_UU_TP000042</t>
        </is>
      </c>
      <c r="B133" t="inlineStr">
        <is>
          <t>Manchester and Salford (Davyhulme)STW</t>
        </is>
      </c>
      <c r="C133" t="n">
        <v>53.46428282</v>
      </c>
      <c r="D133" t="n">
        <v>-2.381057605</v>
      </c>
      <c r="E133" t="n">
        <v>1200000</v>
      </c>
    </row>
    <row r="134">
      <c r="A134" t="inlineStr">
        <is>
          <t>IT09RT0504</t>
        </is>
      </c>
      <c r="B134" t="inlineStr">
        <is>
          <t>Idi_Aquarno</t>
        </is>
      </c>
      <c r="C134" t="n">
        <v>43.73266</v>
      </c>
      <c r="D134" t="n">
        <v>10.76001</v>
      </c>
      <c r="E134" t="n">
        <v>2050000</v>
      </c>
    </row>
    <row r="135">
      <c r="A135" t="inlineStr">
        <is>
          <t>ES1410910002012E</t>
        </is>
      </c>
      <c r="B135" t="inlineStr">
        <is>
          <t>COPERO</t>
        </is>
      </c>
      <c r="C135" t="n">
        <v>37.31031</v>
      </c>
      <c r="D135" t="n">
        <v>-5.98694</v>
      </c>
      <c r="E135" t="n">
        <v>950000</v>
      </c>
    </row>
    <row r="136">
      <c r="A136" t="inlineStr">
        <is>
          <t>FR025745200219</t>
        </is>
      </c>
      <c r="B136" t="inlineStr">
        <is>
          <t>METZ</t>
        </is>
      </c>
      <c r="C136" t="n">
        <v>49.1453885397</v>
      </c>
      <c r="D136" t="n">
        <v>6.1925310146</v>
      </c>
      <c r="E136" t="n">
        <v>440000</v>
      </c>
    </row>
    <row r="137">
      <c r="A137" t="inlineStr">
        <is>
          <t>FIJVP_O000000000101</t>
        </is>
      </c>
      <c r="B137" t="inlineStr">
        <is>
          <t>TP (101) of Helsingin kt.</t>
        </is>
      </c>
      <c r="C137" t="n">
        <v>60.22436</v>
      </c>
      <c r="D137" t="n">
        <v>24.98851</v>
      </c>
      <c r="E137" t="n">
        <v>1322000</v>
      </c>
    </row>
    <row r="138">
      <c r="A138" t="inlineStr">
        <is>
          <t>ES14300160001030E</t>
        </is>
      </c>
      <c r="B138" t="inlineStr">
        <is>
          <t>CARTAGENA (CABEZO BEAZA)</t>
        </is>
      </c>
      <c r="C138" t="n">
        <v>37.63503</v>
      </c>
      <c r="D138" t="n">
        <v>-0.95108</v>
      </c>
      <c r="E138" t="n">
        <v>379167</v>
      </c>
    </row>
    <row r="139">
      <c r="A139" t="inlineStr">
        <is>
          <t>IT15Q15000000006</t>
        </is>
      </c>
      <c r="B139" t="inlineStr">
        <is>
          <t>Marcianise_Ce_Depuratore_Di_Marcianise</t>
        </is>
      </c>
      <c r="C139" t="n">
        <v>41.018</v>
      </c>
      <c r="D139" t="n">
        <v>14.2593</v>
      </c>
      <c r="E139" t="n">
        <v>803110</v>
      </c>
    </row>
    <row r="140">
      <c r="A140" t="inlineStr">
        <is>
          <t>DETP_BYDON-K0220</t>
        </is>
      </c>
      <c r="B140" t="inlineStr">
        <is>
          <t>Zweckverband Klärwerk Steinhäule</t>
        </is>
      </c>
      <c r="C140" t="n">
        <v>48.4256</v>
      </c>
      <c r="D140" t="n">
        <v>10.031</v>
      </c>
      <c r="E140" t="n">
        <v>445000</v>
      </c>
    </row>
    <row r="141">
      <c r="A141" t="inlineStr">
        <is>
          <t>UKENNE_YW_TP000082</t>
        </is>
      </c>
      <c r="B141" t="inlineStr">
        <is>
          <t>BRADFORD ESHOLT STW</t>
        </is>
      </c>
      <c r="C141" t="n">
        <v>53.8446587</v>
      </c>
      <c r="D141" t="n">
        <v>-1.713028214</v>
      </c>
      <c r="E141" t="n">
        <v>568071</v>
      </c>
    </row>
    <row r="142">
      <c r="A142" t="inlineStr">
        <is>
          <t>FR0444109S0011</t>
        </is>
      </c>
      <c r="B142" t="inlineStr">
        <is>
          <t>NANTES 1-TOUGAS</t>
        </is>
      </c>
      <c r="C142" t="n">
        <v>47.1968154241</v>
      </c>
      <c r="D142" t="n">
        <v>-1.6307432791</v>
      </c>
      <c r="E142" t="n">
        <v>600000</v>
      </c>
    </row>
    <row r="143">
      <c r="A143" t="inlineStr">
        <is>
          <t>ES7372740002010E</t>
        </is>
      </c>
      <c r="B143" t="inlineStr">
        <is>
          <t>SALAMANCA</t>
        </is>
      </c>
      <c r="C143" t="n">
        <v>40.97077</v>
      </c>
      <c r="D143" t="n">
        <v>-5.71456</v>
      </c>
      <c r="E143" t="n">
        <v>550000</v>
      </c>
    </row>
    <row r="144">
      <c r="A144" t="inlineStr">
        <is>
          <t>UKENNW_UU_TP000124</t>
        </is>
      </c>
      <c r="B144" t="inlineStr">
        <is>
          <t>NORTH WARRINGTON   STW</t>
        </is>
      </c>
      <c r="C144" t="n">
        <v>53.37719558</v>
      </c>
      <c r="D144" t="n">
        <v>-2.632213568</v>
      </c>
      <c r="E144" t="n">
        <v>343510</v>
      </c>
    </row>
    <row r="145">
      <c r="A145" t="inlineStr">
        <is>
          <t>UKENTH_TWU_TP000126</t>
        </is>
      </c>
      <c r="B145" t="inlineStr">
        <is>
          <t>Rye Meads STW</t>
        </is>
      </c>
      <c r="C145" t="n">
        <v>51.76925899</v>
      </c>
      <c r="D145" t="n">
        <v>0.016681728</v>
      </c>
      <c r="E145" t="n">
        <v>407317</v>
      </c>
    </row>
    <row r="146">
      <c r="A146" t="inlineStr">
        <is>
          <t>IT15Q15000000004</t>
        </is>
      </c>
      <c r="B146" t="inlineStr">
        <is>
          <t>Marigliano_Na_Depuratore_Di_Nola</t>
        </is>
      </c>
      <c r="C146" t="n">
        <v>40.9646</v>
      </c>
      <c r="D146" t="n">
        <v>14.4654</v>
      </c>
      <c r="E146" t="n">
        <v>461225</v>
      </c>
    </row>
    <row r="147">
      <c r="A147" t="inlineStr">
        <is>
          <t>DETP_BYN-K0002</t>
        </is>
      </c>
      <c r="B147" t="inlineStr">
        <is>
          <t>Erlangen</t>
        </is>
      </c>
      <c r="C147" t="n">
        <v>49.6171</v>
      </c>
      <c r="D147" t="n">
        <v>11.0009</v>
      </c>
      <c r="E147" t="n">
        <v>350000</v>
      </c>
    </row>
    <row r="148">
      <c r="A148" t="inlineStr">
        <is>
          <t>IT09RT0506</t>
        </is>
      </c>
      <c r="B148" t="inlineStr">
        <is>
          <t>Idi_Cuoio_Depur</t>
        </is>
      </c>
      <c r="C148" t="n">
        <v>43.69528</v>
      </c>
      <c r="D148" t="n">
        <v>10.77106</v>
      </c>
      <c r="E148" t="n">
        <v>846160</v>
      </c>
    </row>
    <row r="149">
      <c r="A149" t="inlineStr">
        <is>
          <t>ES1410700001010E</t>
        </is>
      </c>
      <c r="B149" t="inlineStr">
        <is>
          <t>PALOMARES</t>
        </is>
      </c>
      <c r="C149" t="n">
        <v>37.31154</v>
      </c>
      <c r="D149" t="n">
        <v>-6.03491</v>
      </c>
      <c r="E149" t="n">
        <v>650000</v>
      </c>
    </row>
    <row r="150">
      <c r="A150" t="inlineStr">
        <is>
          <t>DETP_ST153581000001</t>
        </is>
      </c>
      <c r="B150" t="inlineStr">
        <is>
          <t>MD-Gerwisch</t>
        </is>
      </c>
      <c r="C150" t="n">
        <v>52.183</v>
      </c>
      <c r="D150" t="n">
        <v>11.7323</v>
      </c>
      <c r="E150" t="n">
        <v>426000</v>
      </c>
    </row>
    <row r="151">
      <c r="A151" t="inlineStr">
        <is>
          <t>RO3AG_51</t>
        </is>
      </c>
      <c r="B151" t="inlineStr">
        <is>
          <t>ROWP SC APA CANAL 2000 S.A. PITESTI</t>
        </is>
      </c>
      <c r="C151" t="n">
        <v>44.836</v>
      </c>
      <c r="D151" t="n">
        <v>24.923</v>
      </c>
      <c r="E151" t="n">
        <v>320000</v>
      </c>
    </row>
    <row r="152">
      <c r="A152" t="inlineStr">
        <is>
          <t>IT06000000000098</t>
        </is>
      </c>
      <c r="B152" t="inlineStr">
        <is>
          <t>San_Giorgio_Di_Nogaro</t>
        </is>
      </c>
      <c r="C152" t="n">
        <v>45.7602</v>
      </c>
      <c r="D152" t="n">
        <v>13.232</v>
      </c>
      <c r="E152" t="n">
        <v>698000</v>
      </c>
    </row>
    <row r="153">
      <c r="A153" t="inlineStr">
        <is>
          <t>IT12000000000311</t>
        </is>
      </c>
      <c r="B153" t="inlineStr">
        <is>
          <t>ROMA_NORD</t>
        </is>
      </c>
      <c r="C153" t="n">
        <v>41.965805</v>
      </c>
      <c r="D153" t="n">
        <v>12.496186</v>
      </c>
      <c r="E153" t="n">
        <v>780000</v>
      </c>
    </row>
    <row r="154">
      <c r="A154" t="inlineStr">
        <is>
          <t>DETP_ST152021000001</t>
        </is>
      </c>
      <c r="B154" t="inlineStr">
        <is>
          <t>Halle-Nord</t>
        </is>
      </c>
      <c r="C154" t="n">
        <v>51.5245</v>
      </c>
      <c r="D154" t="n">
        <v>11.9207</v>
      </c>
      <c r="E154" t="n">
        <v>340000</v>
      </c>
    </row>
    <row r="155">
      <c r="A155" t="inlineStr">
        <is>
          <t>HRUWWTP_0001116_001</t>
        </is>
      </c>
      <c r="B155" t="inlineStr">
        <is>
          <t>Rijeka-Delta</t>
        </is>
      </c>
      <c r="C155" t="n">
        <v>45.3216</v>
      </c>
      <c r="D155" t="n">
        <v>14.4432</v>
      </c>
      <c r="E155" t="n">
        <v>540000</v>
      </c>
    </row>
    <row r="156">
      <c r="A156" t="inlineStr">
        <is>
          <t>FR025435700075</t>
        </is>
      </c>
      <c r="B156" t="inlineStr">
        <is>
          <t>MAXEVILLE</t>
        </is>
      </c>
      <c r="C156" t="n">
        <v>48.7122718546</v>
      </c>
      <c r="D156" t="n">
        <v>6.1737629418</v>
      </c>
      <c r="E156" t="n">
        <v>500000</v>
      </c>
    </row>
    <row r="157">
      <c r="A157" t="inlineStr">
        <is>
          <t>IT15Q90000003627</t>
        </is>
      </c>
      <c r="B157" t="inlineStr">
        <is>
          <t>Salerno_Impianto_Salerno</t>
        </is>
      </c>
      <c r="C157" t="n">
        <v>40.6358</v>
      </c>
      <c r="D157" t="n">
        <v>14.8364</v>
      </c>
      <c r="E157" t="n">
        <v>700000</v>
      </c>
    </row>
    <row r="158">
      <c r="A158" t="inlineStr">
        <is>
          <t>IT12000000000304</t>
        </is>
      </c>
      <c r="B158" t="inlineStr">
        <is>
          <t>ROMA_EST</t>
        </is>
      </c>
      <c r="C158" t="n">
        <v>41.920912</v>
      </c>
      <c r="D158" t="n">
        <v>12.574226</v>
      </c>
      <c r="E158" t="n">
        <v>900000</v>
      </c>
    </row>
    <row r="159">
      <c r="A159" t="inlineStr">
        <is>
          <t>UKENAN_AW_TP000069</t>
        </is>
      </c>
      <c r="B159" t="inlineStr">
        <is>
          <t>MILTON KEYNES   STW</t>
        </is>
      </c>
      <c r="C159" t="n">
        <v>52.05584118</v>
      </c>
      <c r="D159" t="n">
        <v>-0.711976622</v>
      </c>
      <c r="E159" t="n">
        <v>326101</v>
      </c>
    </row>
    <row r="160">
      <c r="A160" t="inlineStr">
        <is>
          <t>DETP_BW1175100000062</t>
        </is>
      </c>
      <c r="B160" t="inlineStr">
        <is>
          <t>Göppingen</t>
        </is>
      </c>
      <c r="C160" t="n">
        <v>48.704</v>
      </c>
      <c r="D160" t="n">
        <v>9.603590000000001</v>
      </c>
      <c r="E160" t="n">
        <v>330000</v>
      </c>
    </row>
    <row r="161">
      <c r="A161" t="inlineStr">
        <is>
          <t>DETP_NI253014201</t>
        </is>
      </c>
      <c r="B161" t="inlineStr">
        <is>
          <t>2530142095 KA Gümmerwald</t>
        </is>
      </c>
      <c r="C161" t="n">
        <v>52.4153</v>
      </c>
      <c r="D161" t="n">
        <v>9.51037</v>
      </c>
      <c r="E161" t="n">
        <v>750000</v>
      </c>
    </row>
    <row r="162">
      <c r="A162" t="inlineStr">
        <is>
          <t>SI_KCN_00098</t>
        </is>
      </c>
      <c r="B162" t="inlineStr">
        <is>
          <t>UWWTP_LJUBLJANA (ZALOG)</t>
        </is>
      </c>
      <c r="C162" t="n">
        <v>46.069035</v>
      </c>
      <c r="D162" t="n">
        <v>14.624219</v>
      </c>
      <c r="E162" t="n">
        <v>360000</v>
      </c>
    </row>
    <row r="163">
      <c r="A163" t="inlineStr">
        <is>
          <t>IT03160128000384</t>
        </is>
      </c>
      <c r="B163" t="inlineStr">
        <is>
          <t>Dp01209001_Lonate_Pozzolo</t>
        </is>
      </c>
      <c r="C163" t="n">
        <v>45.5764215943</v>
      </c>
      <c r="D163" t="n">
        <v>8.761275554499999</v>
      </c>
      <c r="E163" t="n">
        <v>397224</v>
      </c>
    </row>
    <row r="164">
      <c r="A164" t="inlineStr">
        <is>
          <t>FR0472181S0016</t>
        </is>
      </c>
      <c r="B164" t="inlineStr">
        <is>
          <t>LMM_LE MANS - LA CHAUVINIÈRE</t>
        </is>
      </c>
      <c r="C164" t="n">
        <v>47.9820918839</v>
      </c>
      <c r="D164" t="n">
        <v>0.1702864985</v>
      </c>
      <c r="E164" t="n">
        <v>365000</v>
      </c>
    </row>
    <row r="165">
      <c r="A165" t="inlineStr">
        <is>
          <t>ES10461100001010E</t>
        </is>
      </c>
      <c r="B165" t="inlineStr">
        <is>
          <t>QUART - BENAGER</t>
        </is>
      </c>
      <c r="C165" t="n">
        <v>39.454621</v>
      </c>
      <c r="D165" t="n">
        <v>-0.414522</v>
      </c>
      <c r="E165" t="n">
        <v>412500</v>
      </c>
    </row>
    <row r="166">
      <c r="A166" t="inlineStr">
        <is>
          <t>DETP_BW3165100000008</t>
        </is>
      </c>
      <c r="B166" t="inlineStr">
        <is>
          <t>SKA AZV BREISGAUER BUCHT - KA FORCHHEIM</t>
        </is>
      </c>
      <c r="C166" t="n">
        <v>48.1895</v>
      </c>
      <c r="D166" t="n">
        <v>7.70885</v>
      </c>
      <c r="E166" t="n">
        <v>600000</v>
      </c>
    </row>
    <row r="167">
      <c r="A167" t="inlineStr">
        <is>
          <t>FR060969199001</t>
        </is>
      </c>
      <c r="B167" t="inlineStr">
        <is>
          <t>LYON - SAINT FONS</t>
        </is>
      </c>
      <c r="C167" t="n">
        <v>45.6911764843</v>
      </c>
      <c r="D167" t="n">
        <v>4.8486854898</v>
      </c>
      <c r="E167" t="n">
        <v>983333</v>
      </c>
    </row>
    <row r="168">
      <c r="A168" t="inlineStr">
        <is>
          <t>ES8130050002010E</t>
        </is>
      </c>
      <c r="B168" t="inlineStr">
        <is>
          <t>ALCAZAR DE SAN JUAN-CAMPO DE CRIPTANA</t>
        </is>
      </c>
      <c r="C168" t="n">
        <v>39.39194</v>
      </c>
      <c r="D168" t="n">
        <v>-3.23147</v>
      </c>
      <c r="E168" t="n">
        <v>322400</v>
      </c>
    </row>
    <row r="169">
      <c r="A169" t="inlineStr">
        <is>
          <t>ES3330441901011E</t>
        </is>
      </c>
      <c r="B169" t="inlineStr">
        <is>
          <t>VILLAPEREZ</t>
        </is>
      </c>
      <c r="C169" t="n">
        <v>43.405</v>
      </c>
      <c r="D169" t="n">
        <v>-5.826</v>
      </c>
      <c r="E169" t="n">
        <v>725767</v>
      </c>
    </row>
    <row r="170">
      <c r="A170" t="inlineStr">
        <is>
          <t>ES17260890002010E</t>
        </is>
      </c>
      <c r="B170" t="inlineStr">
        <is>
          <t>LOGROÑO</t>
        </is>
      </c>
      <c r="C170" t="n">
        <v>42.46547</v>
      </c>
      <c r="D170" t="n">
        <v>-2.41652</v>
      </c>
      <c r="E170" t="n">
        <v>467000</v>
      </c>
    </row>
    <row r="171">
      <c r="A171" t="inlineStr">
        <is>
          <t>IETP_D0033</t>
        </is>
      </c>
      <c r="B171" t="inlineStr">
        <is>
          <t>Cork city</t>
        </is>
      </c>
      <c r="C171" t="n">
        <v>51.888792</v>
      </c>
      <c r="D171" t="n">
        <v>-8.336269</v>
      </c>
      <c r="E171" t="n">
        <v>413200</v>
      </c>
    </row>
    <row r="172">
      <c r="A172" t="inlineStr">
        <is>
          <t>FR060921231001</t>
        </is>
      </c>
      <c r="B172" t="inlineStr">
        <is>
          <t>DIJON</t>
        </is>
      </c>
      <c r="C172" t="n">
        <v>47.2912157959</v>
      </c>
      <c r="D172" t="n">
        <v>5.0785087465</v>
      </c>
      <c r="E172" t="n">
        <v>400000</v>
      </c>
    </row>
    <row r="173">
      <c r="A173" t="inlineStr">
        <is>
          <t>UKENMI_ST_TP000068</t>
        </is>
      </c>
      <c r="B173" t="inlineStr">
        <is>
          <t>COVENTRY  STW</t>
        </is>
      </c>
      <c r="C173" t="n">
        <v>52.36034278</v>
      </c>
      <c r="D173" t="n">
        <v>-1.508043872</v>
      </c>
      <c r="E173" t="n">
        <v>484157</v>
      </c>
    </row>
    <row r="174">
      <c r="A174" t="inlineStr">
        <is>
          <t>UKENAN_AW_TP000107</t>
        </is>
      </c>
      <c r="B174" t="inlineStr">
        <is>
          <t>NORTHAMPTON   STW</t>
        </is>
      </c>
      <c r="C174" t="n">
        <v>52.25007229</v>
      </c>
      <c r="D174" t="n">
        <v>-0.8058975900000001</v>
      </c>
      <c r="E174" t="n">
        <v>337357</v>
      </c>
    </row>
    <row r="175">
      <c r="A175" t="inlineStr">
        <is>
          <t>DETP_NW608</t>
        </is>
      </c>
      <c r="B175" t="inlineStr">
        <is>
          <t>Wuppertal-Buchenhofen</t>
        </is>
      </c>
      <c r="C175" t="n">
        <v>51.2235</v>
      </c>
      <c r="D175" t="n">
        <v>7.10641</v>
      </c>
      <c r="E175" t="n">
        <v>600000</v>
      </c>
    </row>
    <row r="176">
      <c r="A176" t="inlineStr">
        <is>
          <t>PT5000519</t>
        </is>
      </c>
      <c r="B176" t="inlineStr">
        <is>
          <t>Matosinhos</t>
        </is>
      </c>
      <c r="C176" t="n">
        <v>41.2133</v>
      </c>
      <c r="D176" t="n">
        <v>-8.714281</v>
      </c>
      <c r="E176" t="n">
        <v>490890</v>
      </c>
    </row>
    <row r="177">
      <c r="A177" t="inlineStr">
        <is>
          <t>PT20501079</t>
        </is>
      </c>
      <c r="B177" t="inlineStr">
        <is>
          <t>Rib. de Moinhos</t>
        </is>
      </c>
      <c r="C177" t="n">
        <v>37.9843582141</v>
      </c>
      <c r="D177" t="n">
        <v>-8.8498108147</v>
      </c>
      <c r="E177" t="n">
        <v>360000</v>
      </c>
    </row>
    <row r="178">
      <c r="A178" t="inlineStr">
        <is>
          <t>ES13280790001013E</t>
        </is>
      </c>
      <c r="B178" t="inlineStr">
        <is>
          <t>BUTARQUE</t>
        </is>
      </c>
      <c r="C178" t="n">
        <v>40.335065</v>
      </c>
      <c r="D178" t="n">
        <v>-3.662516</v>
      </c>
      <c r="E178" t="n">
        <v>1612800</v>
      </c>
    </row>
    <row r="179">
      <c r="A179" t="inlineStr">
        <is>
          <t>ES1140210009010E</t>
        </is>
      </c>
      <c r="B179" t="inlineStr">
        <is>
          <t>LA GOLONDRINA</t>
        </is>
      </c>
      <c r="C179" t="n">
        <v>37.84706</v>
      </c>
      <c r="D179" t="n">
        <v>-4.86217</v>
      </c>
      <c r="E179" t="n">
        <v>783000</v>
      </c>
    </row>
    <row r="180">
      <c r="A180" t="inlineStr">
        <is>
          <t>FR0533039V005</t>
        </is>
      </c>
      <c r="B180" t="inlineStr">
        <is>
          <t>BEGLES (CLOS DE HILDE)</t>
        </is>
      </c>
      <c r="C180" t="n">
        <v>44.8008736897</v>
      </c>
      <c r="D180" t="n">
        <v>-0.5325374705</v>
      </c>
      <c r="E180" t="n">
        <v>408333</v>
      </c>
    </row>
    <row r="181">
      <c r="A181" t="inlineStr">
        <is>
          <t>PT18075792</t>
        </is>
      </c>
      <c r="B181" t="inlineStr">
        <is>
          <t>Agra I e II</t>
        </is>
      </c>
      <c r="C181" t="n">
        <v>41.35147</v>
      </c>
      <c r="D181" t="n">
        <v>-8.60272</v>
      </c>
      <c r="E181" t="n">
        <v>357740</v>
      </c>
    </row>
    <row r="182">
      <c r="A182" t="inlineStr">
        <is>
          <t>DETP_BE02</t>
        </is>
      </c>
      <c r="B182" t="inlineStr">
        <is>
          <t>Schönerlinde</t>
        </is>
      </c>
      <c r="C182" t="n">
        <v>52.665</v>
      </c>
      <c r="D182" t="n">
        <v>13.4166</v>
      </c>
      <c r="E182" t="n">
        <v>702000</v>
      </c>
    </row>
    <row r="183">
      <c r="A183" t="inlineStr">
        <is>
          <t>UKENMI_ST_TP000156</t>
        </is>
      </c>
      <c r="B183" t="inlineStr">
        <is>
          <t>BIRMINGHAM &amp; BLACK COUNTRY NO. 1 (MINWORTH) STW</t>
        </is>
      </c>
      <c r="C183" t="n">
        <v>52.52882775</v>
      </c>
      <c r="D183" t="n">
        <v>-1.758227208</v>
      </c>
      <c r="E183" t="n">
        <v>1900000</v>
      </c>
    </row>
    <row r="184">
      <c r="A184" t="inlineStr">
        <is>
          <t>EL300026013</t>
        </is>
      </c>
      <c r="B184" t="inlineStr">
        <is>
          <t>METAMORPHOSI</t>
        </is>
      </c>
      <c r="C184" t="n">
        <v>38.07787392</v>
      </c>
      <c r="D184" t="n">
        <v>23.77380744</v>
      </c>
      <c r="E184" t="n">
        <v>500000</v>
      </c>
    </row>
    <row r="185">
      <c r="A185" t="inlineStr">
        <is>
          <t>UKENNW_UU_TP000018</t>
        </is>
      </c>
      <c r="B185" t="inlineStr">
        <is>
          <t>BLACKBURN STW</t>
        </is>
      </c>
      <c r="C185" t="n">
        <v>53.7595452</v>
      </c>
      <c r="D185" t="n">
        <v>-2.601086053</v>
      </c>
      <c r="E185" t="n">
        <v>368722</v>
      </c>
    </row>
    <row r="186">
      <c r="A186" t="inlineStr">
        <is>
          <t>FRCH0000101160</t>
        </is>
      </c>
      <c r="B186" t="inlineStr">
        <is>
          <t>FERNEY-VOLTAIRE - AIRE 2</t>
        </is>
      </c>
      <c r="C186" t="n">
        <v>46.195725845</v>
      </c>
      <c r="D186" t="n">
        <v>6.0895739291</v>
      </c>
      <c r="E186" t="n">
        <v>3200000</v>
      </c>
    </row>
    <row r="187">
      <c r="A187" t="inlineStr">
        <is>
          <t>ES6390060001010E</t>
        </is>
      </c>
      <c r="B187" t="inlineStr">
        <is>
          <t>SAN PANTALEON</t>
        </is>
      </c>
      <c r="C187" t="n">
        <v>43.46107</v>
      </c>
      <c r="D187" t="n">
        <v>-3.5239584</v>
      </c>
      <c r="E187" t="n">
        <v>324500</v>
      </c>
    </row>
    <row r="188">
      <c r="A188" t="inlineStr">
        <is>
          <t>ES10030650002001E</t>
        </is>
      </c>
      <c r="B188" t="inlineStr">
        <is>
          <t>ELX - ALGOROS</t>
        </is>
      </c>
      <c r="C188" t="n">
        <v>38.243491</v>
      </c>
      <c r="D188" t="n">
        <v>-0.704526</v>
      </c>
      <c r="E188" t="n">
        <v>420000</v>
      </c>
    </row>
    <row r="189">
      <c r="A189" t="inlineStr">
        <is>
          <t>IT15Q15000000008</t>
        </is>
      </c>
      <c r="B189" t="inlineStr">
        <is>
          <t>Pozzuoli_Na_Impianto_Napoli_Ovest_Cuma</t>
        </is>
      </c>
      <c r="C189" t="n">
        <v>40.8739</v>
      </c>
      <c r="D189" t="n">
        <v>14.0692</v>
      </c>
      <c r="E189" t="n">
        <v>1200000</v>
      </c>
    </row>
    <row r="190">
      <c r="A190" t="inlineStr">
        <is>
          <t>ES13280790001011E</t>
        </is>
      </c>
      <c r="B190" t="inlineStr">
        <is>
          <t>SUR</t>
        </is>
      </c>
      <c r="C190" t="n">
        <v>40.311904</v>
      </c>
      <c r="D190" t="n">
        <v>-3.616639</v>
      </c>
      <c r="E190" t="n">
        <v>2937600</v>
      </c>
    </row>
    <row r="191">
      <c r="A191" t="inlineStr">
        <is>
          <t>ES13280790001019E</t>
        </is>
      </c>
      <c r="B191" t="inlineStr">
        <is>
          <t>ARROYO CULEBRO CUENCA BAJA</t>
        </is>
      </c>
      <c r="C191" t="n">
        <v>40.300845</v>
      </c>
      <c r="D191" t="n">
        <v>-3.602147</v>
      </c>
      <c r="E191" t="n">
        <v>1353600</v>
      </c>
    </row>
    <row r="192">
      <c r="A192" t="inlineStr">
        <is>
          <t>ES13280790001012E</t>
        </is>
      </c>
      <c r="B192" t="inlineStr">
        <is>
          <t>LA CHINA</t>
        </is>
      </c>
      <c r="C192" t="n">
        <v>40.311904</v>
      </c>
      <c r="D192" t="n">
        <v>-3.616639</v>
      </c>
      <c r="E192" t="n">
        <v>1335000</v>
      </c>
    </row>
    <row r="193">
      <c r="A193" t="inlineStr">
        <is>
          <t>ES14300161912010E</t>
        </is>
      </c>
      <c r="B193" t="inlineStr">
        <is>
          <t>MAR MENOR SUR</t>
        </is>
      </c>
      <c r="C193" t="n">
        <v>37.62447</v>
      </c>
      <c r="D193" t="n">
        <v>-0.7260799999999999</v>
      </c>
      <c r="E193" t="n">
        <v>541667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90"/>
  <sheetViews>
    <sheetView workbookViewId="0">
      <selection activeCell="A1" sqref="A1"/>
    </sheetView>
  </sheetViews>
  <sheetFormatPr baseColWidth="8" defaultRowHeight="15"/>
  <cols>
    <col width="29" customWidth="1" min="1" max="1"/>
    <col width="67" customWidth="1" min="2" max="2"/>
    <col width="13" customWidth="1" min="3" max="3"/>
    <col width="11" customWidth="1" min="4" max="4"/>
    <col width="28" customWidth="1" min="5" max="5"/>
    <col width="27" customWidth="1" min="6" max="6"/>
    <col width="27" customWidth="1" min="7" max="7"/>
    <col width="25" customWidth="1" min="8" max="8"/>
    <col width="28" customWidth="1" min="9" max="9"/>
    <col width="28" customWidth="1" min="10" max="10"/>
    <col width="26" customWidth="1" min="11" max="11"/>
    <col width="36" customWidth="1" min="12" max="12"/>
    <col width="36" customWidth="1" min="13" max="13"/>
    <col width="37" customWidth="1" min="14" max="14"/>
    <col width="17" customWidth="1" min="15" max="15"/>
  </cols>
  <sheetData>
    <row r="1">
      <c r="A1" s="1" t="inlineStr">
        <is>
          <t>UWWTD Code</t>
        </is>
      </c>
      <c r="B1" s="1" t="inlineStr">
        <is>
          <t>Name</t>
        </is>
      </c>
      <c r="C1" s="1" t="inlineStr">
        <is>
          <t>Capacity/PE</t>
        </is>
      </c>
      <c r="D1" s="1" t="inlineStr">
        <is>
          <t>Ozonation</t>
        </is>
      </c>
      <c r="E1" s="1" t="inlineStr">
        <is>
          <t>Waste Water Treated [m³/a]</t>
        </is>
      </c>
      <c r="F1" s="1" t="inlineStr">
        <is>
          <t>BODIncomingMeasured [t/a]</t>
        </is>
      </c>
      <c r="G1" s="1" t="inlineStr">
        <is>
          <t>CODIncomingMeasured [t/a]</t>
        </is>
      </c>
      <c r="H1" s="1" t="inlineStr">
        <is>
          <t>NIncomingMeasured [t/a]</t>
        </is>
      </c>
      <c r="I1" s="1" t="inlineStr">
        <is>
          <t>BODDischargeMeasured [t/a]</t>
        </is>
      </c>
      <c r="J1" s="1" t="inlineStr">
        <is>
          <t>CODDischargeMeasured [t/a]</t>
        </is>
      </c>
      <c r="K1" s="1" t="inlineStr">
        <is>
          <t>NDischargeMeasured [t/a]</t>
        </is>
      </c>
      <c r="L1" s="1" t="inlineStr">
        <is>
          <t>Calc. oxygen requirement AOR [t/a]</t>
        </is>
      </c>
      <c r="M1" s="1" t="inlineStr">
        <is>
          <t>Calc. oxygen requirement SOR [t/a]</t>
        </is>
      </c>
      <c r="N1" s="1" t="inlineStr">
        <is>
          <t>Calc. oxygen requirement SOR [m³/a]</t>
        </is>
      </c>
      <c r="O1" s="1" t="inlineStr">
        <is>
          <t>AOR calc source</t>
        </is>
      </c>
    </row>
    <row r="2">
      <c r="A2" t="inlineStr">
        <is>
          <t>DETP_HH4/4 AI 3</t>
        </is>
      </c>
      <c r="B2" t="inlineStr">
        <is>
          <t>Klärwerksverbund Köhlbrandhöft Dradenau</t>
        </is>
      </c>
      <c r="C2" t="n">
        <v>2900000</v>
      </c>
      <c r="D2" t="n">
        <v>0</v>
      </c>
      <c r="E2" t="n">
        <v>146000000</v>
      </c>
      <c r="L2" t="n">
        <v>52199.99999999999</v>
      </c>
      <c r="M2" t="n">
        <v>174000</v>
      </c>
      <c r="N2" t="n">
        <v>130744687.5</v>
      </c>
      <c r="O2" t="inlineStr">
        <is>
          <t>literature PE</t>
        </is>
      </c>
    </row>
    <row r="3">
      <c r="A3" t="inlineStr">
        <is>
          <t>NL25017</t>
        </is>
      </c>
      <c r="B3" t="inlineStr">
        <is>
          <t>UWWTP NIEUWVEER</t>
        </is>
      </c>
      <c r="C3" t="n">
        <v>360000</v>
      </c>
      <c r="D3" t="n">
        <v>0</v>
      </c>
      <c r="E3" t="n">
        <v>27094100</v>
      </c>
      <c r="F3" t="n">
        <v>5245.512</v>
      </c>
      <c r="G3" t="n">
        <v>14261.282964</v>
      </c>
      <c r="H3" t="n">
        <v>1196.088</v>
      </c>
      <c r="I3" t="n">
        <v>114.924</v>
      </c>
      <c r="J3" t="n">
        <v>928.908</v>
      </c>
      <c r="K3" t="n">
        <v>299.022</v>
      </c>
      <c r="L3" t="n">
        <v>5254.762500672</v>
      </c>
      <c r="M3" t="n">
        <v>17515.87500224</v>
      </c>
      <c r="N3" t="n">
        <v>13161537.9509019</v>
      </c>
      <c r="O3" t="inlineStr">
        <is>
          <t>measured-based</t>
        </is>
      </c>
    </row>
    <row r="4">
      <c r="A4" t="inlineStr">
        <is>
          <t>ATTP_4-41003001</t>
        </is>
      </c>
      <c r="B4" t="inlineStr">
        <is>
          <t>Asten - Regionalkläranlage</t>
        </is>
      </c>
      <c r="C4" t="n">
        <v>950000</v>
      </c>
      <c r="D4" t="n">
        <v>0</v>
      </c>
      <c r="E4" t="n">
        <v>58584164</v>
      </c>
      <c r="F4" t="n">
        <v>19409.46</v>
      </c>
      <c r="G4" t="n">
        <v>36335.93</v>
      </c>
      <c r="H4" t="n">
        <v>2341.3</v>
      </c>
      <c r="I4" t="n">
        <v>238.68</v>
      </c>
      <c r="J4" t="n">
        <v>2571.17</v>
      </c>
      <c r="K4" t="n">
        <v>497.73</v>
      </c>
      <c r="L4" t="n">
        <v>14996.15538096</v>
      </c>
      <c r="M4" t="n">
        <v>49987.1846032</v>
      </c>
      <c r="N4" t="n">
        <v>37560682.93074825</v>
      </c>
      <c r="O4" t="inlineStr">
        <is>
          <t>measured-based</t>
        </is>
      </c>
    </row>
    <row r="5">
      <c r="A5" t="inlineStr">
        <is>
          <t>ATTP_9-HKA-Simmering</t>
        </is>
      </c>
      <c r="B5" t="inlineStr">
        <is>
          <t>Hauptkläranlage Wien</t>
        </is>
      </c>
      <c r="C5" t="n">
        <v>4000000</v>
      </c>
      <c r="D5" t="n">
        <v>0</v>
      </c>
      <c r="E5" t="n">
        <v>195752713</v>
      </c>
      <c r="F5" t="n">
        <v>67798.24000000001</v>
      </c>
      <c r="G5" t="n">
        <v>136833.29</v>
      </c>
      <c r="H5" t="n">
        <v>10982.62</v>
      </c>
      <c r="I5" t="n">
        <v>726.52</v>
      </c>
      <c r="J5" t="n">
        <v>8585.59</v>
      </c>
      <c r="K5" t="n">
        <v>1961.63</v>
      </c>
      <c r="L5" t="n">
        <v>56939.83478624001</v>
      </c>
      <c r="M5" t="n">
        <v>189799.4492874667</v>
      </c>
      <c r="N5" t="n">
        <v>142616492.4411605</v>
      </c>
      <c r="O5" t="inlineStr">
        <is>
          <t>measured-based</t>
        </is>
      </c>
    </row>
    <row r="6">
      <c r="A6" t="inlineStr">
        <is>
          <t>PLMP0011</t>
        </is>
      </c>
      <c r="B6" t="inlineStr">
        <is>
          <t>Kraków-Płaszów</t>
        </is>
      </c>
      <c r="C6" t="n">
        <v>780000</v>
      </c>
      <c r="E6" t="n">
        <v>58174000</v>
      </c>
      <c r="G6" t="n">
        <v>32868.31</v>
      </c>
      <c r="H6" t="n">
        <v>3077.4</v>
      </c>
      <c r="I6" t="n">
        <v>186.16</v>
      </c>
      <c r="J6" t="n">
        <v>1506.71</v>
      </c>
      <c r="K6" t="n">
        <v>430.49</v>
      </c>
      <c r="L6" t="n">
        <v>13792.97460308</v>
      </c>
      <c r="M6" t="n">
        <v>45976.58201026666</v>
      </c>
      <c r="N6" t="n">
        <v>34547091.07615194</v>
      </c>
      <c r="O6" t="inlineStr">
        <is>
          <t>measured-based</t>
        </is>
      </c>
    </row>
    <row r="7">
      <c r="A7" t="inlineStr">
        <is>
          <t>DETP_NW1805</t>
        </is>
      </c>
      <c r="B7" t="inlineStr">
        <is>
          <t>Köln Stammheim</t>
        </is>
      </c>
      <c r="C7" t="n">
        <v>1450000</v>
      </c>
      <c r="D7" t="n">
        <v>0</v>
      </c>
      <c r="E7" t="n">
        <v>78662464</v>
      </c>
      <c r="L7" t="n">
        <v>26100</v>
      </c>
      <c r="M7" t="n">
        <v>86999.99999999999</v>
      </c>
      <c r="N7" t="n">
        <v>65372343.74999999</v>
      </c>
      <c r="O7" t="inlineStr">
        <is>
          <t>literature PE</t>
        </is>
      </c>
    </row>
    <row r="8">
      <c r="A8" t="inlineStr">
        <is>
          <t>PLSL0090</t>
        </is>
      </c>
      <c r="B8" t="inlineStr">
        <is>
          <t>Centralna Oczyszczalnia Ścieków w Gliwicach</t>
        </is>
      </c>
      <c r="C8" t="n">
        <v>310750</v>
      </c>
      <c r="E8" t="n">
        <v>11339000</v>
      </c>
      <c r="G8" t="n">
        <v>7403.23</v>
      </c>
      <c r="H8" t="n">
        <v>962.6799999999999</v>
      </c>
      <c r="I8" t="n">
        <v>47.96</v>
      </c>
      <c r="J8" t="n">
        <v>468.3</v>
      </c>
      <c r="K8" t="n">
        <v>87.76000000000001</v>
      </c>
      <c r="L8" t="n">
        <v>3399.030850839999</v>
      </c>
      <c r="M8" t="n">
        <v>11330.10283613333</v>
      </c>
      <c r="N8" t="n">
        <v>8513510.084213311</v>
      </c>
      <c r="O8" t="inlineStr">
        <is>
          <t>measured-based</t>
        </is>
      </c>
    </row>
    <row r="9">
      <c r="A9" t="inlineStr">
        <is>
          <t>ES2502970002010E</t>
        </is>
      </c>
      <c r="B9" t="inlineStr">
        <is>
          <t>ZARAGOZA (LA CARTUJA)</t>
        </is>
      </c>
      <c r="C9" t="n">
        <v>1020000</v>
      </c>
      <c r="D9" t="n">
        <v>0</v>
      </c>
      <c r="E9" t="n">
        <v>56524000</v>
      </c>
      <c r="F9" t="n">
        <v>18523</v>
      </c>
      <c r="G9" t="n">
        <v>45411</v>
      </c>
      <c r="H9" t="n">
        <v>3013</v>
      </c>
      <c r="I9" t="n">
        <v>887</v>
      </c>
      <c r="J9" t="n">
        <v>4109</v>
      </c>
      <c r="K9" t="n">
        <v>2385</v>
      </c>
      <c r="L9" t="n">
        <v>17912.210936</v>
      </c>
      <c r="M9" t="n">
        <v>59707.36978666667</v>
      </c>
      <c r="N9" t="n">
        <v>44864490.8287625</v>
      </c>
      <c r="O9" t="inlineStr">
        <is>
          <t>measured-based</t>
        </is>
      </c>
    </row>
    <row r="10">
      <c r="A10" t="inlineStr">
        <is>
          <t>PLMZ0011</t>
        </is>
      </c>
      <c r="B10" t="inlineStr">
        <is>
          <t>Zakład Oczyszczalni Ścieków "Czajka"</t>
        </is>
      </c>
      <c r="C10" t="n">
        <v>2100000</v>
      </c>
      <c r="E10" t="n">
        <v>132337500</v>
      </c>
      <c r="G10" t="n">
        <v>92768.59</v>
      </c>
      <c r="H10" t="n">
        <v>7741.74</v>
      </c>
      <c r="I10" t="n">
        <v>489.65</v>
      </c>
      <c r="J10" t="n">
        <v>4234.8</v>
      </c>
      <c r="K10" t="n">
        <v>899.9</v>
      </c>
      <c r="L10" t="n">
        <v>36743.97037772</v>
      </c>
      <c r="M10" t="n">
        <v>122479.9012590667</v>
      </c>
      <c r="N10" t="n">
        <v>92032163.30544558</v>
      </c>
      <c r="O10" t="inlineStr">
        <is>
          <t>measured-based</t>
        </is>
      </c>
    </row>
    <row r="11">
      <c r="A11" t="inlineStr">
        <is>
          <t>DETP_NW2102</t>
        </is>
      </c>
      <c r="B11" t="inlineStr">
        <is>
          <t>Krefeld</t>
        </is>
      </c>
      <c r="C11" t="n">
        <v>1200000</v>
      </c>
      <c r="D11" t="n">
        <v>0</v>
      </c>
      <c r="E11" t="n">
        <v>22863600</v>
      </c>
      <c r="L11" t="n">
        <v>21600</v>
      </c>
      <c r="M11" t="n">
        <v>72000</v>
      </c>
      <c r="N11" t="n">
        <v>54101250</v>
      </c>
      <c r="O11" t="inlineStr">
        <is>
          <t>literature PE</t>
        </is>
      </c>
    </row>
    <row r="12">
      <c r="A12" t="inlineStr">
        <is>
          <t>NL32002</t>
        </is>
      </c>
      <c r="B12" t="inlineStr">
        <is>
          <t>UWWTP TILBURG-NOORD</t>
        </is>
      </c>
      <c r="C12" t="n">
        <v>400500</v>
      </c>
      <c r="D12" t="n">
        <v>0</v>
      </c>
      <c r="E12" t="n">
        <v>22249936</v>
      </c>
      <c r="F12" t="n">
        <v>6628.992</v>
      </c>
      <c r="G12" t="n">
        <v>14462.49</v>
      </c>
      <c r="H12" t="n">
        <v>1299.666</v>
      </c>
      <c r="I12" t="n">
        <v>51.24</v>
      </c>
      <c r="J12" t="n">
        <v>894.138</v>
      </c>
      <c r="K12" t="n">
        <v>199.836</v>
      </c>
      <c r="L12" t="n">
        <v>5914.618630272001</v>
      </c>
      <c r="M12" t="n">
        <v>19715.39543424</v>
      </c>
      <c r="N12" t="n">
        <v>14814271.3505094</v>
      </c>
      <c r="O12" t="inlineStr">
        <is>
          <t>measured-based</t>
        </is>
      </c>
    </row>
    <row r="13">
      <c r="A13" t="inlineStr">
        <is>
          <t>DETP_BW2225100000001</t>
        </is>
      </c>
      <c r="B13" t="inlineStr">
        <is>
          <t>Kläranlage Mannheim</t>
        </is>
      </c>
      <c r="C13" t="n">
        <v>725000</v>
      </c>
      <c r="D13" t="n">
        <v>0</v>
      </c>
      <c r="E13" t="n">
        <v>27569972</v>
      </c>
      <c r="L13" t="n">
        <v>13050</v>
      </c>
      <c r="M13" t="n">
        <v>43499.99999999999</v>
      </c>
      <c r="N13" t="n">
        <v>32686171.875</v>
      </c>
      <c r="O13" t="inlineStr">
        <is>
          <t>literature PE</t>
        </is>
      </c>
    </row>
    <row r="14">
      <c r="A14" t="inlineStr">
        <is>
          <t>ES9081690001010E</t>
        </is>
      </c>
      <c r="B14" t="inlineStr">
        <is>
          <t>PRAT DE LLOBREGAT (EL)</t>
        </is>
      </c>
      <c r="C14" t="n">
        <v>2275000</v>
      </c>
      <c r="D14" t="n">
        <v>0</v>
      </c>
      <c r="E14" t="n">
        <v>88763125</v>
      </c>
      <c r="F14" t="n">
        <v>24942.44</v>
      </c>
      <c r="G14" t="n">
        <v>47932.09</v>
      </c>
      <c r="H14" t="n">
        <v>4899.72</v>
      </c>
      <c r="I14" t="n">
        <v>710.11</v>
      </c>
      <c r="J14" t="n">
        <v>4260.63</v>
      </c>
      <c r="K14" t="n">
        <v>1624.37</v>
      </c>
      <c r="L14" t="n">
        <v>24360.94285424</v>
      </c>
      <c r="M14" t="n">
        <v>81203.14284746666</v>
      </c>
      <c r="N14" t="n">
        <v>61016549.05522925</v>
      </c>
      <c r="O14" t="inlineStr">
        <is>
          <t>measured-based</t>
        </is>
      </c>
    </row>
    <row r="15">
      <c r="A15" t="inlineStr">
        <is>
          <t>ES16010590063010E</t>
        </is>
      </c>
      <c r="B15" t="inlineStr">
        <is>
          <t>Crispijana</t>
        </is>
      </c>
      <c r="C15" t="n">
        <v>480000</v>
      </c>
      <c r="D15" t="n">
        <v>0</v>
      </c>
      <c r="E15" t="n">
        <v>30230840</v>
      </c>
      <c r="I15" t="n">
        <v>115.48</v>
      </c>
      <c r="J15" t="n">
        <v>752.74</v>
      </c>
      <c r="K15" t="n">
        <v>372.44</v>
      </c>
      <c r="L15" t="n">
        <v>8640</v>
      </c>
      <c r="M15" t="n">
        <v>28800</v>
      </c>
      <c r="N15" t="n">
        <v>21640500</v>
      </c>
      <c r="O15" t="inlineStr">
        <is>
          <t>literature PE</t>
        </is>
      </c>
    </row>
    <row r="16">
      <c r="A16" t="inlineStr">
        <is>
          <t>DETP_BE03</t>
        </is>
      </c>
      <c r="B16" t="inlineStr">
        <is>
          <t>Waßmannsdorf</t>
        </is>
      </c>
      <c r="C16" t="n">
        <v>1270800</v>
      </c>
      <c r="D16" t="n">
        <v>0</v>
      </c>
      <c r="E16" t="n">
        <v>78069099</v>
      </c>
      <c r="L16" t="n">
        <v>22874.4</v>
      </c>
      <c r="M16" t="n">
        <v>76248</v>
      </c>
      <c r="N16" t="n">
        <v>57293223.75</v>
      </c>
      <c r="O16" t="inlineStr">
        <is>
          <t>literature PE</t>
        </is>
      </c>
    </row>
    <row r="17">
      <c r="A17" t="inlineStr">
        <is>
          <t>DETP_MV03.03.1 wbu1437</t>
        </is>
      </c>
      <c r="B17" t="inlineStr">
        <is>
          <t>Rostock - Bramow</t>
        </is>
      </c>
      <c r="C17" t="n">
        <v>400000</v>
      </c>
      <c r="D17" t="n">
        <v>0</v>
      </c>
      <c r="E17" t="n">
        <v>15183220</v>
      </c>
      <c r="L17" t="n">
        <v>7199.999999999999</v>
      </c>
      <c r="M17" t="n">
        <v>24000</v>
      </c>
      <c r="N17" t="n">
        <v>18033750</v>
      </c>
      <c r="O17" t="inlineStr">
        <is>
          <t>literature PE</t>
        </is>
      </c>
    </row>
    <row r="18">
      <c r="A18" t="inlineStr">
        <is>
          <t>CZ8119-713767-00845451-4/1U</t>
        </is>
      </c>
      <c r="B18" t="inlineStr">
        <is>
          <t>UCOV Ostrava - Privoz</t>
        </is>
      </c>
      <c r="C18" t="n">
        <v>638850</v>
      </c>
      <c r="D18" t="n">
        <v>0</v>
      </c>
      <c r="E18" t="n">
        <v>30974285</v>
      </c>
      <c r="L18" t="n">
        <v>11499.3</v>
      </c>
      <c r="M18" t="n">
        <v>38331</v>
      </c>
      <c r="N18" t="n">
        <v>28802152.96875</v>
      </c>
      <c r="O18" t="inlineStr">
        <is>
          <t>literature PE</t>
        </is>
      </c>
    </row>
    <row r="19">
      <c r="A19" t="inlineStr">
        <is>
          <t>BGWT56784_00_01</t>
        </is>
      </c>
      <c r="B19" t="inlineStr">
        <is>
          <t>UWWTP Plovdiv</t>
        </is>
      </c>
      <c r="C19" t="n">
        <v>596000</v>
      </c>
      <c r="D19" t="n">
        <v>0</v>
      </c>
      <c r="E19" t="n">
        <v>17619624</v>
      </c>
      <c r="L19" t="n">
        <v>10728</v>
      </c>
      <c r="M19" t="n">
        <v>35760</v>
      </c>
      <c r="N19" t="n">
        <v>26870287.5</v>
      </c>
      <c r="O19" t="inlineStr">
        <is>
          <t>literature PE</t>
        </is>
      </c>
    </row>
    <row r="20">
      <c r="A20" t="inlineStr">
        <is>
          <t>DETP_HB18-1</t>
        </is>
      </c>
      <c r="B20" t="inlineStr">
        <is>
          <t>Kläranlage Seehausen</t>
        </is>
      </c>
      <c r="C20" t="n">
        <v>1000000</v>
      </c>
      <c r="D20" t="n">
        <v>0</v>
      </c>
      <c r="E20" t="n">
        <v>43423960</v>
      </c>
      <c r="H20" t="n">
        <v>2986.7</v>
      </c>
      <c r="K20" t="n">
        <v>474.83</v>
      </c>
      <c r="L20" t="n">
        <v>18000</v>
      </c>
      <c r="M20" t="n">
        <v>60000</v>
      </c>
      <c r="N20" t="n">
        <v>45084375</v>
      </c>
      <c r="O20" t="inlineStr">
        <is>
          <t>literature PE</t>
        </is>
      </c>
    </row>
    <row r="21">
      <c r="A21" t="inlineStr">
        <is>
          <t>DETP_ST151541000001</t>
        </is>
      </c>
      <c r="B21" t="inlineStr">
        <is>
          <t>Bitterfeld-Wolfen</t>
        </is>
      </c>
      <c r="C21" t="n">
        <v>525000</v>
      </c>
      <c r="D21" t="n">
        <v>0</v>
      </c>
      <c r="E21" t="n">
        <v>7574686</v>
      </c>
      <c r="H21" t="n">
        <v>610.52</v>
      </c>
      <c r="K21" t="n">
        <v>64.38500000000001</v>
      </c>
      <c r="L21" t="n">
        <v>9450</v>
      </c>
      <c r="M21" t="n">
        <v>31500</v>
      </c>
      <c r="N21" t="n">
        <v>23669296.875</v>
      </c>
      <c r="O21" t="inlineStr">
        <is>
          <t>literature PE</t>
        </is>
      </c>
    </row>
    <row r="22">
      <c r="A22" t="inlineStr">
        <is>
          <t>DETP_NW904</t>
        </is>
      </c>
      <c r="B22" t="inlineStr">
        <is>
          <t>Duisburg-Kaßlerfeld</t>
        </is>
      </c>
      <c r="C22" t="n">
        <v>450000</v>
      </c>
      <c r="D22" t="n">
        <v>0</v>
      </c>
      <c r="E22" t="n">
        <v>35436147</v>
      </c>
      <c r="L22" t="n">
        <v>8099.999999999999</v>
      </c>
      <c r="M22" t="n">
        <v>27000</v>
      </c>
      <c r="N22" t="n">
        <v>20287968.75</v>
      </c>
      <c r="O22" t="inlineStr">
        <is>
          <t>literature PE</t>
        </is>
      </c>
    </row>
    <row r="23">
      <c r="A23" t="inlineStr">
        <is>
          <t>PLWL0011</t>
        </is>
      </c>
      <c r="B23" t="inlineStr">
        <is>
          <t>Centralna Oczyszczalnia Ścieków w Koziegłowach</t>
        </is>
      </c>
      <c r="C23" t="n">
        <v>1200000</v>
      </c>
      <c r="E23" t="n">
        <v>36683000</v>
      </c>
      <c r="G23" t="n">
        <v>46844.19</v>
      </c>
      <c r="H23" t="n">
        <v>4108.5</v>
      </c>
      <c r="I23" t="n">
        <v>110.05</v>
      </c>
      <c r="J23" t="n">
        <v>1577.37</v>
      </c>
      <c r="K23" t="n">
        <v>293.46</v>
      </c>
      <c r="L23" t="n">
        <v>18584.32001172</v>
      </c>
      <c r="M23" t="n">
        <v>61947.73337240001</v>
      </c>
      <c r="N23" t="n">
        <v>46547914.02935494</v>
      </c>
      <c r="O23" t="inlineStr">
        <is>
          <t>measured-based</t>
        </is>
      </c>
    </row>
    <row r="24">
      <c r="A24" t="inlineStr">
        <is>
          <t>RO2GL_51</t>
        </is>
      </c>
      <c r="B24" t="inlineStr">
        <is>
          <t>ROWP GALATI</t>
        </is>
      </c>
      <c r="C24" t="n">
        <v>369000</v>
      </c>
      <c r="D24" t="n">
        <v>0</v>
      </c>
      <c r="E24" t="n">
        <v>32695655</v>
      </c>
      <c r="F24" t="n">
        <v>4725.22</v>
      </c>
      <c r="G24" t="n">
        <v>6184.47</v>
      </c>
      <c r="H24" t="n">
        <v>1173.65</v>
      </c>
      <c r="I24" t="n">
        <v>178.577</v>
      </c>
      <c r="J24" t="n">
        <v>490.44</v>
      </c>
      <c r="K24" t="n">
        <v>118.36</v>
      </c>
      <c r="L24" t="n">
        <v>4374.980139760001</v>
      </c>
      <c r="M24" t="n">
        <v>14583.26713253334</v>
      </c>
      <c r="N24" t="n">
        <v>10957958.06880513</v>
      </c>
      <c r="O24" t="inlineStr">
        <is>
          <t>measured-based</t>
        </is>
      </c>
    </row>
    <row r="25">
      <c r="A25" t="inlineStr">
        <is>
          <t>DETP_BW2125100000014</t>
        </is>
      </c>
      <c r="B25" t="inlineStr">
        <is>
          <t>SKA Karlsruhe Neureut</t>
        </is>
      </c>
      <c r="C25" t="n">
        <v>875000</v>
      </c>
      <c r="D25" t="n">
        <v>0</v>
      </c>
      <c r="E25" t="n">
        <v>34335130</v>
      </c>
      <c r="L25" t="n">
        <v>15750</v>
      </c>
      <c r="M25" t="n">
        <v>52499.99999999999</v>
      </c>
      <c r="N25" t="n">
        <v>39448828.12499999</v>
      </c>
      <c r="O25" t="inlineStr">
        <is>
          <t>literature PE</t>
        </is>
      </c>
    </row>
    <row r="26">
      <c r="A26" t="inlineStr">
        <is>
          <t>ATTP_6-M3631054R0</t>
        </is>
      </c>
      <c r="B26" t="inlineStr">
        <is>
          <t>Gratkorn</t>
        </is>
      </c>
      <c r="C26" t="n">
        <v>533000</v>
      </c>
      <c r="D26" t="n">
        <v>0</v>
      </c>
      <c r="E26" t="n">
        <v>29181750</v>
      </c>
      <c r="L26" t="n">
        <v>9594</v>
      </c>
      <c r="M26" t="n">
        <v>31980</v>
      </c>
      <c r="N26" t="n">
        <v>24029971.875</v>
      </c>
      <c r="O26" t="inlineStr">
        <is>
          <t>literature PE</t>
        </is>
      </c>
    </row>
    <row r="27">
      <c r="A27" t="inlineStr">
        <is>
          <t>IT05000000000043</t>
        </is>
      </c>
      <c r="B27" t="inlineStr">
        <is>
          <t>Arzignano_Via_Altura</t>
        </is>
      </c>
      <c r="C27" t="n">
        <v>2360000</v>
      </c>
      <c r="D27" t="n">
        <v>0</v>
      </c>
      <c r="E27" t="n">
        <v>12335022</v>
      </c>
      <c r="L27" t="n">
        <v>42480</v>
      </c>
      <c r="M27" t="n">
        <v>141600</v>
      </c>
      <c r="N27" t="n">
        <v>106399125</v>
      </c>
      <c r="O27" t="inlineStr">
        <is>
          <t>literature PE</t>
        </is>
      </c>
    </row>
    <row r="28">
      <c r="A28" t="inlineStr">
        <is>
          <t>DETP_NW906</t>
        </is>
      </c>
      <c r="B28" t="inlineStr">
        <is>
          <t>Duisburg-Alte Emscher</t>
        </is>
      </c>
      <c r="C28" t="n">
        <v>500000</v>
      </c>
      <c r="D28" t="n">
        <v>0</v>
      </c>
      <c r="E28" t="n">
        <v>30118549</v>
      </c>
      <c r="L28" t="n">
        <v>9000</v>
      </c>
      <c r="M28" t="n">
        <v>30000</v>
      </c>
      <c r="N28" t="n">
        <v>22542187.5</v>
      </c>
      <c r="O28" t="inlineStr">
        <is>
          <t>literature PE</t>
        </is>
      </c>
    </row>
    <row r="29">
      <c r="A29" t="inlineStr">
        <is>
          <t>DETP_HE064140000101</t>
        </is>
      </c>
      <c r="B29" t="inlineStr">
        <is>
          <t>Wiesbaden / Mitte</t>
        </is>
      </c>
      <c r="C29" t="n">
        <v>330000</v>
      </c>
      <c r="D29" t="n">
        <v>0</v>
      </c>
      <c r="E29" t="n">
        <v>18442544</v>
      </c>
      <c r="L29" t="n">
        <v>5940</v>
      </c>
      <c r="M29" t="n">
        <v>19800</v>
      </c>
      <c r="N29" t="n">
        <v>14877843.75</v>
      </c>
      <c r="O29" t="inlineStr">
        <is>
          <t>literature PE</t>
        </is>
      </c>
    </row>
    <row r="30">
      <c r="A30" t="inlineStr">
        <is>
          <t>DETP_NW905</t>
        </is>
      </c>
      <c r="B30" t="inlineStr">
        <is>
          <t>Emscherkläranlage</t>
        </is>
      </c>
      <c r="C30" t="n">
        <v>1386600</v>
      </c>
      <c r="D30" t="n">
        <v>0</v>
      </c>
      <c r="E30" t="n">
        <v>337876704</v>
      </c>
      <c r="L30" t="n">
        <v>24958.8</v>
      </c>
      <c r="M30" t="n">
        <v>83196</v>
      </c>
      <c r="N30" t="n">
        <v>62513994.375</v>
      </c>
      <c r="O30" t="inlineStr">
        <is>
          <t>literature PE</t>
        </is>
      </c>
    </row>
    <row r="31">
      <c r="A31" t="inlineStr">
        <is>
          <t>ATTP_6-M3489301R0</t>
        </is>
      </c>
      <c r="B31" t="inlineStr">
        <is>
          <t>Graz-Gössendorf</t>
        </is>
      </c>
      <c r="C31" t="n">
        <v>500000</v>
      </c>
      <c r="D31" t="n">
        <v>0</v>
      </c>
      <c r="E31" t="n">
        <v>27905028</v>
      </c>
      <c r="F31" t="n">
        <v>10586.47</v>
      </c>
      <c r="G31" t="n">
        <v>18525.75</v>
      </c>
      <c r="H31" t="n">
        <v>1648</v>
      </c>
      <c r="I31" t="n">
        <v>235.04</v>
      </c>
      <c r="J31" t="n">
        <v>883.67</v>
      </c>
      <c r="K31" t="n">
        <v>510.3</v>
      </c>
      <c r="L31" t="n">
        <v>9288.41589432</v>
      </c>
      <c r="M31" t="n">
        <v>30961.3863144</v>
      </c>
      <c r="N31" t="n">
        <v>23264579.18530463</v>
      </c>
      <c r="O31" t="inlineStr">
        <is>
          <t>measured-based</t>
        </is>
      </c>
    </row>
    <row r="32">
      <c r="A32" t="inlineStr">
        <is>
          <t>DETP_BYM-K0001</t>
        </is>
      </c>
      <c r="B32" t="inlineStr">
        <is>
          <t>München II - Gut Marienhof</t>
        </is>
      </c>
      <c r="C32" t="n">
        <v>1000000</v>
      </c>
      <c r="D32" t="n">
        <v>0</v>
      </c>
      <c r="E32" t="n">
        <v>52343656</v>
      </c>
      <c r="H32" t="n">
        <v>2596.8</v>
      </c>
      <c r="K32" t="n">
        <v>647.49</v>
      </c>
      <c r="L32" t="n">
        <v>18000</v>
      </c>
      <c r="M32" t="n">
        <v>60000</v>
      </c>
      <c r="N32" t="n">
        <v>45084375</v>
      </c>
      <c r="O32" t="inlineStr">
        <is>
          <t>literature PE</t>
        </is>
      </c>
    </row>
    <row r="33">
      <c r="A33" t="inlineStr">
        <is>
          <t>IT03160128000457</t>
        </is>
      </c>
      <c r="B33" t="inlineStr">
        <is>
          <t>Dp01514602_Milano_S_Rocco</t>
        </is>
      </c>
      <c r="C33" t="n">
        <v>1050000</v>
      </c>
      <c r="D33" t="n">
        <v>0</v>
      </c>
      <c r="E33" t="n">
        <v>91931667.92</v>
      </c>
      <c r="F33" t="n">
        <v>10841.36</v>
      </c>
      <c r="G33" t="n">
        <v>22170.62</v>
      </c>
      <c r="H33" t="n">
        <v>2412.25</v>
      </c>
      <c r="I33" t="n">
        <v>529.51</v>
      </c>
      <c r="J33" t="n">
        <v>1278.82</v>
      </c>
      <c r="K33" t="n">
        <v>480.19</v>
      </c>
      <c r="L33" t="n">
        <v>10157.64070096</v>
      </c>
      <c r="M33" t="n">
        <v>33858.80233653334</v>
      </c>
      <c r="N33" t="n">
        <v>25441715.69318576</v>
      </c>
      <c r="O33" t="inlineStr">
        <is>
          <t>measured-based</t>
        </is>
      </c>
    </row>
    <row r="34">
      <c r="A34" t="inlineStr">
        <is>
          <t>ES16200690005010E</t>
        </is>
      </c>
      <c r="B34" t="inlineStr">
        <is>
          <t>Loiola</t>
        </is>
      </c>
      <c r="C34" t="n">
        <v>628000</v>
      </c>
      <c r="D34" t="n">
        <v>0</v>
      </c>
      <c r="E34" t="n">
        <v>38329836</v>
      </c>
      <c r="I34" t="n">
        <v>1057.9</v>
      </c>
      <c r="J34" t="n">
        <v>4120.84</v>
      </c>
      <c r="L34" t="n">
        <v>11304</v>
      </c>
      <c r="M34" t="n">
        <v>37680</v>
      </c>
      <c r="N34" t="n">
        <v>28312987.5</v>
      </c>
      <c r="O34" t="inlineStr">
        <is>
          <t>literature PE</t>
        </is>
      </c>
    </row>
    <row r="35">
      <c r="A35" t="inlineStr">
        <is>
          <t>PLMP0016</t>
        </is>
      </c>
      <c r="B35" t="inlineStr">
        <is>
          <t>Kraków-Kujawy</t>
        </is>
      </c>
      <c r="C35" t="n">
        <v>373000</v>
      </c>
      <c r="E35" t="n">
        <v>20135000</v>
      </c>
      <c r="G35" t="n">
        <v>12685.05</v>
      </c>
      <c r="H35" t="n">
        <v>1447.71</v>
      </c>
      <c r="I35" t="n">
        <v>85.56999999999999</v>
      </c>
      <c r="J35" t="n">
        <v>656.4</v>
      </c>
      <c r="K35" t="n">
        <v>151.01</v>
      </c>
      <c r="L35" t="n">
        <v>5606.550439400001</v>
      </c>
      <c r="M35" t="n">
        <v>18688.50146466667</v>
      </c>
      <c r="N35" t="n">
        <v>14042656.80368469</v>
      </c>
      <c r="O35" t="inlineStr">
        <is>
          <t>measured-based</t>
        </is>
      </c>
    </row>
    <row r="36">
      <c r="A36" t="inlineStr">
        <is>
          <t>DETP_NW1502</t>
        </is>
      </c>
      <c r="B36" t="inlineStr">
        <is>
          <t>Bottrop</t>
        </is>
      </c>
      <c r="C36" t="n">
        <v>1340000</v>
      </c>
      <c r="D36" t="n">
        <v>0</v>
      </c>
      <c r="E36" t="n">
        <v>123496091</v>
      </c>
      <c r="L36" t="n">
        <v>24120</v>
      </c>
      <c r="M36" t="n">
        <v>80399.99999999999</v>
      </c>
      <c r="N36" t="n">
        <v>60413062.49999999</v>
      </c>
      <c r="O36" t="inlineStr">
        <is>
          <t>literature PE</t>
        </is>
      </c>
    </row>
    <row r="37">
      <c r="A37" t="inlineStr">
        <is>
          <t>DETP_RP102380095</t>
        </is>
      </c>
      <c r="B37" t="inlineStr">
        <is>
          <t>Mainz</t>
        </is>
      </c>
      <c r="C37" t="n">
        <v>400000</v>
      </c>
      <c r="D37" t="n">
        <v>0</v>
      </c>
      <c r="E37" t="n">
        <v>18698406</v>
      </c>
      <c r="L37" t="n">
        <v>7199.999999999999</v>
      </c>
      <c r="M37" t="n">
        <v>24000</v>
      </c>
      <c r="N37" t="n">
        <v>18033750</v>
      </c>
      <c r="O37" t="inlineStr">
        <is>
          <t>literature PE</t>
        </is>
      </c>
    </row>
    <row r="38">
      <c r="A38" t="inlineStr">
        <is>
          <t>DETP_BYDON-K0001</t>
        </is>
      </c>
      <c r="B38" t="inlineStr">
        <is>
          <t>Augsburg</t>
        </is>
      </c>
      <c r="C38" t="n">
        <v>600000</v>
      </c>
      <c r="D38" t="n">
        <v>0</v>
      </c>
      <c r="E38" t="n">
        <v>51043036</v>
      </c>
      <c r="H38" t="n">
        <v>2126.4</v>
      </c>
      <c r="K38" t="n">
        <v>266.44</v>
      </c>
      <c r="L38" t="n">
        <v>10800</v>
      </c>
      <c r="M38" t="n">
        <v>36000</v>
      </c>
      <c r="N38" t="n">
        <v>27050625</v>
      </c>
      <c r="O38" t="inlineStr">
        <is>
          <t>literature PE</t>
        </is>
      </c>
    </row>
    <row r="39">
      <c r="A39" t="inlineStr">
        <is>
          <t>FR037635102000</t>
        </is>
      </c>
      <c r="B39" t="inlineStr">
        <is>
          <t>LE HAVRE</t>
        </is>
      </c>
      <c r="C39" t="n">
        <v>322000</v>
      </c>
      <c r="D39" t="n">
        <v>0</v>
      </c>
      <c r="E39" t="n">
        <v>77595</v>
      </c>
      <c r="L39" t="n">
        <v>5796</v>
      </c>
      <c r="M39" t="n">
        <v>19320</v>
      </c>
      <c r="N39" t="n">
        <v>14517168.75</v>
      </c>
      <c r="O39" t="inlineStr">
        <is>
          <t>literature PE</t>
        </is>
      </c>
    </row>
    <row r="40">
      <c r="A40" t="inlineStr">
        <is>
          <t>IT03160128000456</t>
        </is>
      </c>
      <c r="B40" t="inlineStr">
        <is>
          <t>Dp01514601_Milano_Nosedo</t>
        </is>
      </c>
      <c r="C40" t="n">
        <v>1250000</v>
      </c>
      <c r="D40" t="n">
        <v>0</v>
      </c>
      <c r="E40" t="n">
        <v>122513162.5</v>
      </c>
      <c r="F40" t="n">
        <v>15987.63</v>
      </c>
      <c r="G40" t="n">
        <v>30732.71</v>
      </c>
      <c r="H40" t="n">
        <v>3081.85</v>
      </c>
      <c r="I40" t="n">
        <v>613.73</v>
      </c>
      <c r="J40" t="n">
        <v>1537.81</v>
      </c>
      <c r="K40" t="n">
        <v>714.0599999999999</v>
      </c>
      <c r="L40" t="n">
        <v>14475.71683368</v>
      </c>
      <c r="M40" t="n">
        <v>48252.3894456</v>
      </c>
      <c r="N40" t="n">
        <v>36257147.00685787</v>
      </c>
      <c r="O40" t="inlineStr">
        <is>
          <t>measured-based</t>
        </is>
      </c>
    </row>
    <row r="41">
      <c r="A41" t="inlineStr">
        <is>
          <t>UKENNE_NU_TP000012</t>
        </is>
      </c>
      <c r="B41" t="inlineStr">
        <is>
          <t>MIDDLESBOROUGH   STW</t>
        </is>
      </c>
      <c r="C41" t="n">
        <v>568783</v>
      </c>
      <c r="D41" t="n">
        <v>0</v>
      </c>
      <c r="E41" t="n">
        <v>31140869.25</v>
      </c>
      <c r="L41" t="n">
        <v>10238.094</v>
      </c>
      <c r="M41" t="n">
        <v>34126.98</v>
      </c>
      <c r="N41" t="n">
        <v>25643226.065625</v>
      </c>
      <c r="O41" t="inlineStr">
        <is>
          <t>literature PE</t>
        </is>
      </c>
    </row>
    <row r="42">
      <c r="A42" t="inlineStr">
        <is>
          <t>UKENNE_YW_TP000098</t>
        </is>
      </c>
      <c r="B42" t="inlineStr">
        <is>
          <t>LEEDS (KNOSTROP) STW</t>
        </is>
      </c>
      <c r="C42" t="n">
        <v>872627</v>
      </c>
      <c r="D42" t="n">
        <v>0</v>
      </c>
      <c r="E42" t="n">
        <v>47776328.25</v>
      </c>
      <c r="L42" t="n">
        <v>15707.286</v>
      </c>
      <c r="M42" t="n">
        <v>52357.62</v>
      </c>
      <c r="N42" t="n">
        <v>39341842.903125</v>
      </c>
      <c r="O42" t="inlineStr">
        <is>
          <t>literature PE</t>
        </is>
      </c>
    </row>
    <row r="43">
      <c r="A43" t="inlineStr">
        <is>
          <t>FIJVP_O000000000036</t>
        </is>
      </c>
      <c r="B43" t="inlineStr">
        <is>
          <t>TP (36) of Helsingin kt.</t>
        </is>
      </c>
      <c r="C43" t="n">
        <v>336000</v>
      </c>
      <c r="D43" t="n">
        <v>0</v>
      </c>
      <c r="E43" t="n">
        <v>42790984</v>
      </c>
      <c r="L43" t="n">
        <v>6047.999999999999</v>
      </c>
      <c r="M43" t="n">
        <v>20160</v>
      </c>
      <c r="N43" t="n">
        <v>15148350</v>
      </c>
      <c r="O43" t="inlineStr">
        <is>
          <t>literature PE</t>
        </is>
      </c>
    </row>
    <row r="44">
      <c r="A44" t="inlineStr">
        <is>
          <t>PLMP0020</t>
        </is>
      </c>
      <c r="B44" t="inlineStr">
        <is>
          <t>Tarnów</t>
        </is>
      </c>
      <c r="C44" t="n">
        <v>460800</v>
      </c>
      <c r="E44" t="n">
        <v>14558000</v>
      </c>
      <c r="G44" t="n">
        <v>14936.51</v>
      </c>
      <c r="H44" t="n">
        <v>1137.71</v>
      </c>
      <c r="I44" t="n">
        <v>117.05</v>
      </c>
      <c r="J44" t="n">
        <v>1180.65</v>
      </c>
      <c r="K44" t="n">
        <v>171.49</v>
      </c>
      <c r="L44" t="n">
        <v>5649.59355508</v>
      </c>
      <c r="M44" t="n">
        <v>18831.97851693333</v>
      </c>
      <c r="N44" t="n">
        <v>14150466.35748944</v>
      </c>
      <c r="O44" t="inlineStr">
        <is>
          <t>measured-based</t>
        </is>
      </c>
    </row>
    <row r="45">
      <c r="A45" t="inlineStr">
        <is>
          <t>DETP_BB239</t>
        </is>
      </c>
      <c r="B45" t="inlineStr">
        <is>
          <t>Stahnsdorf</t>
        </is>
      </c>
      <c r="C45" t="n">
        <v>317000</v>
      </c>
      <c r="D45" t="n">
        <v>0</v>
      </c>
      <c r="E45" t="n">
        <v>19605100</v>
      </c>
      <c r="L45" t="n">
        <v>5706</v>
      </c>
      <c r="M45" t="n">
        <v>19020</v>
      </c>
      <c r="N45" t="n">
        <v>14291746.875</v>
      </c>
      <c r="O45" t="inlineStr">
        <is>
          <t>literature PE</t>
        </is>
      </c>
    </row>
    <row r="46">
      <c r="A46" t="inlineStr">
        <is>
          <t>NL25021</t>
        </is>
      </c>
      <c r="B46" t="inlineStr">
        <is>
          <t>UWWTP BATH</t>
        </is>
      </c>
      <c r="C46" t="n">
        <v>353610</v>
      </c>
      <c r="D46" t="n">
        <v>0</v>
      </c>
      <c r="E46" t="n">
        <v>37352790</v>
      </c>
      <c r="F46" t="n">
        <v>8968.464</v>
      </c>
      <c r="G46" t="n">
        <v>21558.325248</v>
      </c>
      <c r="H46" t="n">
        <v>1736.304</v>
      </c>
      <c r="I46" t="n">
        <v>168.36</v>
      </c>
      <c r="J46" t="n">
        <v>2071.926</v>
      </c>
      <c r="K46" t="n">
        <v>391.254</v>
      </c>
      <c r="L46" t="n">
        <v>8240.649013824002</v>
      </c>
      <c r="M46" t="n">
        <v>27468.83004608001</v>
      </c>
      <c r="N46" t="n">
        <v>20640250.57681231</v>
      </c>
      <c r="O46" t="inlineStr">
        <is>
          <t>measured-based</t>
        </is>
      </c>
    </row>
    <row r="47">
      <c r="A47" t="inlineStr">
        <is>
          <t>NL16010</t>
        </is>
      </c>
      <c r="B47" t="inlineStr">
        <is>
          <t>UWWTP KRALINGSEVEER</t>
        </is>
      </c>
      <c r="C47" t="n">
        <v>324000</v>
      </c>
      <c r="D47" t="n">
        <v>0</v>
      </c>
      <c r="E47" t="n">
        <v>30256773</v>
      </c>
      <c r="F47" t="n">
        <v>4527.786</v>
      </c>
      <c r="G47" t="n">
        <v>11361.80022</v>
      </c>
      <c r="H47" t="n">
        <v>1098</v>
      </c>
      <c r="I47" t="n">
        <v>94.794</v>
      </c>
      <c r="J47" t="n">
        <v>957.822</v>
      </c>
      <c r="K47" t="n">
        <v>239.364</v>
      </c>
      <c r="L47" t="n">
        <v>4575.283948656001</v>
      </c>
      <c r="M47" t="n">
        <v>15250.94649552</v>
      </c>
      <c r="N47" t="n">
        <v>11459656.51514933</v>
      </c>
      <c r="O47" t="inlineStr">
        <is>
          <t>measured-based</t>
        </is>
      </c>
    </row>
    <row r="48">
      <c r="A48" t="inlineStr">
        <is>
          <t>PLPM0110</t>
        </is>
      </c>
      <c r="B48" t="inlineStr">
        <is>
          <t>International Paper-Kwidzyn Sp z o.o.</t>
        </is>
      </c>
      <c r="C48" t="n">
        <v>701760</v>
      </c>
      <c r="E48" t="n">
        <v>34974000</v>
      </c>
      <c r="G48" t="n">
        <v>52635.87</v>
      </c>
      <c r="H48" t="n">
        <v>2623.05</v>
      </c>
      <c r="I48" t="n">
        <v>230.83</v>
      </c>
      <c r="J48" t="n">
        <v>2623.05</v>
      </c>
      <c r="K48" t="n">
        <v>115.41</v>
      </c>
      <c r="L48" t="n">
        <v>17211.62159796</v>
      </c>
      <c r="M48" t="n">
        <v>57372.07199320001</v>
      </c>
      <c r="N48" t="n">
        <v>43109733.47114044</v>
      </c>
      <c r="O48" t="inlineStr">
        <is>
          <t>measured-based</t>
        </is>
      </c>
    </row>
    <row r="49">
      <c r="A49" t="inlineStr">
        <is>
          <t>PLLO0010</t>
        </is>
      </c>
      <c r="B49" t="inlineStr">
        <is>
          <t>Goś Łam</t>
        </is>
      </c>
      <c r="C49" t="n">
        <v>1026260</v>
      </c>
      <c r="E49" t="n">
        <v>63308600</v>
      </c>
      <c r="G49" t="n">
        <v>55682.45</v>
      </c>
      <c r="H49" t="n">
        <v>3598.46</v>
      </c>
      <c r="I49" t="n">
        <v>516.6</v>
      </c>
      <c r="J49" t="n">
        <v>3040.71</v>
      </c>
      <c r="K49" t="n">
        <v>579.91</v>
      </c>
      <c r="L49" t="n">
        <v>20540.6061022</v>
      </c>
      <c r="M49" t="n">
        <v>68468.68700733334</v>
      </c>
      <c r="N49" t="n">
        <v>51447799.34660407</v>
      </c>
      <c r="O49" t="inlineStr">
        <is>
          <t>measured-based</t>
        </is>
      </c>
    </row>
    <row r="50">
      <c r="A50" t="inlineStr">
        <is>
          <t>PLKP0011</t>
        </is>
      </c>
      <c r="B50" t="inlineStr">
        <is>
          <t>Toruń Centralna Oczyszczalnia Ścieków</t>
        </is>
      </c>
      <c r="C50" t="n">
        <v>447000</v>
      </c>
      <c r="E50" t="n">
        <v>15389000</v>
      </c>
      <c r="G50" t="n">
        <v>19482.47</v>
      </c>
      <c r="H50" t="n">
        <v>1508.12</v>
      </c>
      <c r="I50" t="n">
        <v>49.24</v>
      </c>
      <c r="J50" t="n">
        <v>691.4299999999999</v>
      </c>
      <c r="K50" t="n">
        <v>120.03</v>
      </c>
      <c r="L50" t="n">
        <v>7435.254343559998</v>
      </c>
      <c r="M50" t="n">
        <v>24784.1811452</v>
      </c>
      <c r="N50" t="n">
        <v>18622988.61363544</v>
      </c>
      <c r="O50" t="inlineStr">
        <is>
          <t>measured-based</t>
        </is>
      </c>
    </row>
    <row r="51">
      <c r="A51" t="inlineStr">
        <is>
          <t>DETP_BE01</t>
        </is>
      </c>
      <c r="B51" t="inlineStr">
        <is>
          <t>Ruhleben</t>
        </is>
      </c>
      <c r="C51" t="n">
        <v>1600000</v>
      </c>
      <c r="D51" t="n">
        <v>0</v>
      </c>
      <c r="E51" t="n">
        <v>93097400</v>
      </c>
      <c r="H51" t="n">
        <v>6642.3</v>
      </c>
      <c r="K51" t="n">
        <v>1054.1</v>
      </c>
      <c r="L51" t="n">
        <v>28800</v>
      </c>
      <c r="M51" t="n">
        <v>95999.99999999999</v>
      </c>
      <c r="N51" t="n">
        <v>72134999.99999999</v>
      </c>
      <c r="O51" t="inlineStr">
        <is>
          <t>literature PE</t>
        </is>
      </c>
    </row>
    <row r="52">
      <c r="A52" t="inlineStr">
        <is>
          <t>DETP_BW2215100000002</t>
        </is>
      </c>
      <c r="B52" t="inlineStr">
        <is>
          <t>SKA AZV Heidelberg</t>
        </is>
      </c>
      <c r="C52" t="n">
        <v>360000</v>
      </c>
      <c r="D52" t="n">
        <v>0</v>
      </c>
      <c r="E52" t="n">
        <v>23291360</v>
      </c>
      <c r="L52" t="n">
        <v>6479.999999999999</v>
      </c>
      <c r="M52" t="n">
        <v>21600</v>
      </c>
      <c r="N52" t="n">
        <v>16230375</v>
      </c>
      <c r="O52" t="inlineStr">
        <is>
          <t>literature PE</t>
        </is>
      </c>
    </row>
    <row r="53">
      <c r="A53" t="inlineStr">
        <is>
          <t>BGWT68134_00_01</t>
        </is>
      </c>
      <c r="B53" t="inlineStr">
        <is>
          <t>UWWTP Sofia</t>
        </is>
      </c>
      <c r="C53" t="n">
        <v>1833333</v>
      </c>
      <c r="D53" t="n">
        <v>0</v>
      </c>
      <c r="E53" t="n">
        <v>118693965</v>
      </c>
      <c r="L53" t="n">
        <v>32999.994</v>
      </c>
      <c r="M53" t="n">
        <v>109999.98</v>
      </c>
      <c r="N53" t="n">
        <v>82654672.471875</v>
      </c>
      <c r="O53" t="inlineStr">
        <is>
          <t>literature PE</t>
        </is>
      </c>
    </row>
    <row r="54">
      <c r="A54" t="inlineStr">
        <is>
          <t>PLPM0010</t>
        </is>
      </c>
      <c r="B54" t="inlineStr">
        <is>
          <t>Gdańsk-Wschód</t>
        </is>
      </c>
      <c r="C54" t="n">
        <v>860000</v>
      </c>
      <c r="E54" t="n">
        <v>35434000</v>
      </c>
      <c r="G54" t="n">
        <v>37134.83</v>
      </c>
      <c r="H54" t="n">
        <v>3422.92</v>
      </c>
      <c r="I54" t="n">
        <v>99.22</v>
      </c>
      <c r="J54" t="n">
        <v>1229.56</v>
      </c>
      <c r="K54" t="n">
        <v>329.54</v>
      </c>
      <c r="L54" t="n">
        <v>15244.68602924</v>
      </c>
      <c r="M54" t="n">
        <v>50815.62009746667</v>
      </c>
      <c r="N54" t="n">
        <v>38183174.53886206</v>
      </c>
      <c r="O54" t="inlineStr">
        <is>
          <t>measured-based</t>
        </is>
      </c>
    </row>
    <row r="55">
      <c r="A55" t="inlineStr">
        <is>
          <t>DETP_HE064120006011</t>
        </is>
      </c>
      <c r="B55" t="inlineStr">
        <is>
          <t>Frankfurt am Main / Sindlingen</t>
        </is>
      </c>
      <c r="C55" t="n">
        <v>470000</v>
      </c>
      <c r="D55" t="n">
        <v>0</v>
      </c>
      <c r="E55" t="n">
        <v>21694100</v>
      </c>
      <c r="L55" t="n">
        <v>8460</v>
      </c>
      <c r="M55" t="n">
        <v>28200</v>
      </c>
      <c r="N55" t="n">
        <v>21189656.25</v>
      </c>
      <c r="O55" t="inlineStr">
        <is>
          <t>literature PE</t>
        </is>
      </c>
    </row>
    <row r="56">
      <c r="A56" t="inlineStr">
        <is>
          <t>ES1210410001010E</t>
        </is>
      </c>
      <c r="B56" t="inlineStr">
        <is>
          <t>HUELVA</t>
        </is>
      </c>
      <c r="C56" t="n">
        <v>311400</v>
      </c>
      <c r="D56" t="n">
        <v>0</v>
      </c>
      <c r="E56" t="n">
        <v>12295608</v>
      </c>
      <c r="L56" t="n">
        <v>5605.2</v>
      </c>
      <c r="M56" t="n">
        <v>18684</v>
      </c>
      <c r="N56" t="n">
        <v>14039274.375</v>
      </c>
      <c r="O56" t="inlineStr">
        <is>
          <t>literature PE</t>
        </is>
      </c>
    </row>
    <row r="57">
      <c r="A57" t="inlineStr">
        <is>
          <t>IT05000000000213</t>
        </is>
      </c>
      <c r="B57" t="inlineStr">
        <is>
          <t>Venezia_Fusina_Via_Dei_Cantieri</t>
        </is>
      </c>
      <c r="C57" t="n">
        <v>400000</v>
      </c>
      <c r="D57" t="n">
        <v>0</v>
      </c>
      <c r="E57" t="n">
        <v>33926328</v>
      </c>
      <c r="L57" t="n">
        <v>7199.999999999999</v>
      </c>
      <c r="M57" t="n">
        <v>24000</v>
      </c>
      <c r="N57" t="n">
        <v>18033750</v>
      </c>
      <c r="O57" t="inlineStr">
        <is>
          <t>literature PE</t>
        </is>
      </c>
    </row>
    <row r="58">
      <c r="A58" t="inlineStr">
        <is>
          <t>NL31005</t>
        </is>
      </c>
      <c r="B58" t="inlineStr">
        <is>
          <t>UWWTP AMSTERDAN-WESTPOORT</t>
        </is>
      </c>
      <c r="C58" t="n">
        <v>361800</v>
      </c>
      <c r="D58" t="n">
        <v>0</v>
      </c>
      <c r="E58" t="n">
        <v>22522618</v>
      </c>
      <c r="F58" t="n">
        <v>7017.318</v>
      </c>
      <c r="G58" t="n">
        <v>15242.969262</v>
      </c>
      <c r="H58" t="n">
        <v>1352.736</v>
      </c>
      <c r="I58" t="n">
        <v>68.80800000000001</v>
      </c>
      <c r="J58" t="n">
        <v>869.25</v>
      </c>
      <c r="K58" t="n">
        <v>166.164</v>
      </c>
      <c r="L58" t="n">
        <v>6088.446134448001</v>
      </c>
      <c r="M58" t="n">
        <v>20294.82044816</v>
      </c>
      <c r="N58" t="n">
        <v>15249654.92737523</v>
      </c>
      <c r="O58" t="inlineStr">
        <is>
          <t>measured-based</t>
        </is>
      </c>
    </row>
    <row r="59">
      <c r="A59" t="inlineStr">
        <is>
          <t>NL15008</t>
        </is>
      </c>
      <c r="B59" t="inlineStr">
        <is>
          <t>UWWTP HARNASCHPOLDER</t>
        </is>
      </c>
      <c r="C59" t="n">
        <v>696636</v>
      </c>
      <c r="D59" t="n">
        <v>0</v>
      </c>
      <c r="E59" t="n">
        <v>76093927.337</v>
      </c>
      <c r="F59" t="n">
        <v>18082.612104</v>
      </c>
      <c r="G59" t="n">
        <v>43104.341916</v>
      </c>
      <c r="H59" t="n">
        <v>3827.870292</v>
      </c>
      <c r="I59" t="n">
        <v>212.887194</v>
      </c>
      <c r="J59" t="n">
        <v>2548.163004</v>
      </c>
      <c r="K59" t="n">
        <v>485.322222</v>
      </c>
      <c r="L59" t="n">
        <v>16292.77409505014</v>
      </c>
      <c r="M59" t="n">
        <v>54309.24698350048</v>
      </c>
      <c r="N59" t="n">
        <v>40808307.61619591</v>
      </c>
      <c r="O59" t="inlineStr">
        <is>
          <t>measured-based</t>
        </is>
      </c>
    </row>
    <row r="60">
      <c r="A60" t="inlineStr">
        <is>
          <t>UKENTH_TWU_TP000125</t>
        </is>
      </c>
      <c r="B60" t="inlineStr">
        <is>
          <t>LONDON (Riverside STW)</t>
        </is>
      </c>
      <c r="C60" t="n">
        <v>428596</v>
      </c>
      <c r="D60" t="n">
        <v>0</v>
      </c>
      <c r="E60" t="n">
        <v>23465631</v>
      </c>
      <c r="L60" t="n">
        <v>7714.727999999999</v>
      </c>
      <c r="M60" t="n">
        <v>25715.76</v>
      </c>
      <c r="N60" t="n">
        <v>19322982.7875</v>
      </c>
      <c r="O60" t="inlineStr">
        <is>
          <t>literature PE</t>
        </is>
      </c>
    </row>
    <row r="61">
      <c r="A61" t="inlineStr">
        <is>
          <t>UKENNE_YW_TP000095</t>
        </is>
      </c>
      <c r="B61" t="inlineStr">
        <is>
          <t>HULL STW</t>
        </is>
      </c>
      <c r="C61" t="n">
        <v>550794</v>
      </c>
      <c r="D61" t="n">
        <v>0</v>
      </c>
      <c r="E61" t="n">
        <v>30155971.5</v>
      </c>
      <c r="L61" t="n">
        <v>9914.291999999999</v>
      </c>
      <c r="M61" t="n">
        <v>33047.64</v>
      </c>
      <c r="N61" t="n">
        <v>24832203.24375</v>
      </c>
      <c r="O61" t="inlineStr">
        <is>
          <t>literature PE</t>
        </is>
      </c>
    </row>
    <row r="62">
      <c r="A62" t="inlineStr">
        <is>
          <t>DETP_NW1</t>
        </is>
      </c>
      <c r="B62" t="inlineStr">
        <is>
          <t>Aachen-Soers</t>
        </is>
      </c>
      <c r="C62" t="n">
        <v>458000</v>
      </c>
      <c r="D62" t="n">
        <v>1</v>
      </c>
      <c r="E62" t="n">
        <v>31059272</v>
      </c>
      <c r="L62" t="n">
        <v>8244</v>
      </c>
      <c r="M62" t="n">
        <v>27480</v>
      </c>
      <c r="N62" t="n">
        <v>20648643.75</v>
      </c>
      <c r="O62" t="inlineStr">
        <is>
          <t>literature PE</t>
        </is>
      </c>
    </row>
    <row r="63">
      <c r="A63" t="inlineStr">
        <is>
          <t>HU-WWTP-AIA440</t>
        </is>
      </c>
      <c r="B63" t="inlineStr">
        <is>
          <t>Budapest (Eszak Pest) - Szennyviztisztito Telep</t>
        </is>
      </c>
      <c r="C63" t="n">
        <v>1333333</v>
      </c>
      <c r="D63" t="n">
        <v>0</v>
      </c>
      <c r="E63" t="n">
        <v>49302224</v>
      </c>
      <c r="F63" t="n">
        <v>17699.498</v>
      </c>
      <c r="G63" t="n">
        <v>31060.401</v>
      </c>
      <c r="H63" t="n">
        <v>3668.085</v>
      </c>
      <c r="I63" t="n">
        <v>246.511</v>
      </c>
      <c r="J63" t="n">
        <v>1528.369</v>
      </c>
      <c r="K63" t="n">
        <v>1035.347</v>
      </c>
      <c r="L63" t="n">
        <v>17412.793438688</v>
      </c>
      <c r="M63" t="n">
        <v>58042.64479562667</v>
      </c>
      <c r="N63" t="n">
        <v>43613606.06596386</v>
      </c>
      <c r="O63" t="inlineStr">
        <is>
          <t>measured-based</t>
        </is>
      </c>
    </row>
    <row r="64">
      <c r="A64" t="inlineStr">
        <is>
          <t>IT08000000000007</t>
        </is>
      </c>
      <c r="B64" t="inlineStr">
        <is>
          <t>Bologna_Corticella</t>
        </is>
      </c>
      <c r="C64" t="n">
        <v>800000</v>
      </c>
      <c r="D64" t="n">
        <v>0</v>
      </c>
      <c r="E64" t="n">
        <v>40001631.76</v>
      </c>
      <c r="F64" t="n">
        <v>5853.572</v>
      </c>
      <c r="G64" t="n">
        <v>11613.807</v>
      </c>
      <c r="H64" t="n">
        <v>1976.747</v>
      </c>
      <c r="I64" t="n">
        <v>287.511</v>
      </c>
      <c r="J64" t="n">
        <v>1095.044</v>
      </c>
      <c r="K64" t="n">
        <v>384.099</v>
      </c>
      <c r="L64" t="n">
        <v>6762.617601072001</v>
      </c>
      <c r="M64" t="n">
        <v>22542.05867024</v>
      </c>
      <c r="N64" t="n">
        <v>16938243.77268503</v>
      </c>
      <c r="O64" t="inlineStr">
        <is>
          <t>measured-based</t>
        </is>
      </c>
    </row>
    <row r="65">
      <c r="A65" t="inlineStr">
        <is>
          <t>PLPM0020</t>
        </is>
      </c>
      <c r="B65" t="inlineStr">
        <is>
          <t>Goś Dębogórze</t>
        </is>
      </c>
      <c r="C65" t="n">
        <v>550000</v>
      </c>
      <c r="E65" t="n">
        <v>18993000</v>
      </c>
      <c r="G65" t="n">
        <v>21874.24</v>
      </c>
      <c r="H65" t="n">
        <v>1906.9</v>
      </c>
      <c r="I65" t="n">
        <v>15.19</v>
      </c>
      <c r="J65" t="n">
        <v>632.47</v>
      </c>
      <c r="K65" t="n">
        <v>125.35</v>
      </c>
      <c r="L65" t="n">
        <v>8669.244403120001</v>
      </c>
      <c r="M65" t="n">
        <v>28897.48134373334</v>
      </c>
      <c r="N65" t="n">
        <v>21713748.09093963</v>
      </c>
      <c r="O65" t="inlineStr">
        <is>
          <t>measured-based</t>
        </is>
      </c>
    </row>
    <row r="66">
      <c r="A66" t="inlineStr">
        <is>
          <t>DETP_ST152611000039</t>
        </is>
      </c>
      <c r="B66" t="inlineStr">
        <is>
          <t>Schkopau</t>
        </is>
      </c>
      <c r="C66" t="n">
        <v>400000</v>
      </c>
      <c r="D66" t="n">
        <v>0</v>
      </c>
      <c r="E66" t="n">
        <v>7778323</v>
      </c>
      <c r="K66" t="n">
        <v>58.415</v>
      </c>
      <c r="L66" t="n">
        <v>7199.999999999999</v>
      </c>
      <c r="M66" t="n">
        <v>24000</v>
      </c>
      <c r="N66" t="n">
        <v>18033750</v>
      </c>
      <c r="O66" t="inlineStr">
        <is>
          <t>literature PE</t>
        </is>
      </c>
    </row>
    <row r="67">
      <c r="A67" t="inlineStr">
        <is>
          <t>HRUWWTP_0004008_001</t>
        </is>
      </c>
      <c r="B67" t="inlineStr">
        <is>
          <t>Zagreb</t>
        </is>
      </c>
      <c r="C67" t="n">
        <v>1200000</v>
      </c>
      <c r="D67" t="n">
        <v>0</v>
      </c>
      <c r="E67" t="n">
        <v>65700000</v>
      </c>
      <c r="I67" t="n">
        <v>769</v>
      </c>
      <c r="J67" t="n">
        <v>3144</v>
      </c>
      <c r="K67" t="n">
        <v>2560</v>
      </c>
      <c r="L67" t="n">
        <v>21600</v>
      </c>
      <c r="M67" t="n">
        <v>72000</v>
      </c>
      <c r="N67" t="n">
        <v>54101250</v>
      </c>
      <c r="O67" t="inlineStr">
        <is>
          <t>literature PE</t>
        </is>
      </c>
    </row>
    <row r="68">
      <c r="A68" t="inlineStr">
        <is>
          <t>UKENTH_TWU_TP000102</t>
        </is>
      </c>
      <c r="B68" t="inlineStr">
        <is>
          <t>LONDON (Long Reach STW)</t>
        </is>
      </c>
      <c r="C68" t="n">
        <v>919899</v>
      </c>
      <c r="D68" t="n">
        <v>0</v>
      </c>
      <c r="E68" t="n">
        <v>50364470.25</v>
      </c>
      <c r="L68" t="n">
        <v>16558.182</v>
      </c>
      <c r="M68" t="n">
        <v>55193.94</v>
      </c>
      <c r="N68" t="n">
        <v>41473071.478125</v>
      </c>
      <c r="O68" t="inlineStr">
        <is>
          <t>literature PE</t>
        </is>
      </c>
    </row>
    <row r="69">
      <c r="A69" t="inlineStr">
        <is>
          <t>PLLO0030</t>
        </is>
      </c>
      <c r="B69" t="inlineStr">
        <is>
          <t>Kutno</t>
        </is>
      </c>
      <c r="C69" t="n">
        <v>337759</v>
      </c>
      <c r="E69" t="n">
        <v>5283000</v>
      </c>
      <c r="G69" t="n">
        <v>6201.19</v>
      </c>
      <c r="H69" t="n">
        <v>375.62</v>
      </c>
      <c r="I69" t="n">
        <v>15.85</v>
      </c>
      <c r="J69" t="n">
        <v>164.83</v>
      </c>
      <c r="K69" t="n">
        <v>19.02</v>
      </c>
      <c r="L69" t="n">
        <v>2190.371965320001</v>
      </c>
      <c r="M69" t="n">
        <v>7301.239884400002</v>
      </c>
      <c r="N69" t="n">
        <v>5486197.281887439</v>
      </c>
      <c r="O69" t="inlineStr">
        <is>
          <t>measured-based</t>
        </is>
      </c>
    </row>
    <row r="70">
      <c r="A70" t="inlineStr">
        <is>
          <t>FR026830000459</t>
        </is>
      </c>
      <c r="B70" t="inlineStr">
        <is>
          <t>SAUSHEIM</t>
        </is>
      </c>
      <c r="C70" t="n">
        <v>490000</v>
      </c>
      <c r="D70" t="n">
        <v>0</v>
      </c>
      <c r="E70" t="n">
        <v>50982</v>
      </c>
      <c r="L70" t="n">
        <v>8820</v>
      </c>
      <c r="M70" t="n">
        <v>29400</v>
      </c>
      <c r="N70" t="n">
        <v>22091343.75</v>
      </c>
      <c r="O70" t="inlineStr">
        <is>
          <t>literature PE</t>
        </is>
      </c>
    </row>
    <row r="71">
      <c r="A71" t="inlineStr">
        <is>
          <t>RO7BV_511</t>
        </is>
      </c>
      <c r="B71" t="inlineStr">
        <is>
          <t>ROWP SC COMPANIA APA SA Brasov</t>
        </is>
      </c>
      <c r="C71" t="n">
        <v>561600</v>
      </c>
      <c r="D71" t="n">
        <v>0</v>
      </c>
      <c r="E71" t="n">
        <v>35530770</v>
      </c>
      <c r="F71" t="n">
        <v>4223.638</v>
      </c>
      <c r="G71" t="n">
        <v>10945.942</v>
      </c>
      <c r="H71" t="n">
        <v>1026.182</v>
      </c>
      <c r="I71" t="n">
        <v>606.51</v>
      </c>
      <c r="J71" t="n">
        <v>1760.194</v>
      </c>
      <c r="K71" t="n">
        <v>167</v>
      </c>
      <c r="L71" t="n">
        <v>3707.133409808</v>
      </c>
      <c r="M71" t="n">
        <v>12357.11136602667</v>
      </c>
      <c r="N71" t="n">
        <v>9285210.712378474</v>
      </c>
      <c r="O71" t="inlineStr">
        <is>
          <t>measured-based</t>
        </is>
      </c>
    </row>
    <row r="72">
      <c r="A72" t="inlineStr">
        <is>
          <t>ATTP_5-A1699622R154</t>
        </is>
      </c>
      <c r="B72" t="inlineStr">
        <is>
          <t>ARA Siggerwiesen</t>
        </is>
      </c>
      <c r="C72" t="n">
        <v>680000</v>
      </c>
      <c r="D72" t="n">
        <v>0</v>
      </c>
      <c r="E72" t="n">
        <v>29887180</v>
      </c>
      <c r="F72" t="n">
        <v>10495.63</v>
      </c>
      <c r="G72" t="n">
        <v>18487.34</v>
      </c>
      <c r="H72" t="n">
        <v>1370.25</v>
      </c>
      <c r="I72" t="n">
        <v>160.87</v>
      </c>
      <c r="J72" t="n">
        <v>983.84</v>
      </c>
      <c r="K72" t="n">
        <v>292.56</v>
      </c>
      <c r="L72" t="n">
        <v>8293.93843848</v>
      </c>
      <c r="M72" t="n">
        <v>27646.4614616</v>
      </c>
      <c r="N72" t="n">
        <v>20773723.93263038</v>
      </c>
      <c r="O72" t="inlineStr">
        <is>
          <t>measured-based</t>
        </is>
      </c>
    </row>
    <row r="73">
      <c r="A73" t="inlineStr">
        <is>
          <t>ES10030140002012E</t>
        </is>
      </c>
      <c r="B73" t="inlineStr">
        <is>
          <t>RINCON DE LEON</t>
        </is>
      </c>
      <c r="C73" t="n">
        <v>562500</v>
      </c>
      <c r="D73" t="n">
        <v>0</v>
      </c>
      <c r="E73" t="n">
        <v>18146338</v>
      </c>
      <c r="F73" t="n">
        <v>6605.26</v>
      </c>
      <c r="G73" t="n">
        <v>11994.72</v>
      </c>
      <c r="H73" t="n">
        <v>1227.96</v>
      </c>
      <c r="I73" t="n">
        <v>108.87</v>
      </c>
      <c r="J73" t="n">
        <v>653.26</v>
      </c>
      <c r="K73" t="n">
        <v>460.73</v>
      </c>
      <c r="L73" t="n">
        <v>6505.00422656</v>
      </c>
      <c r="M73" t="n">
        <v>21683.34742186667</v>
      </c>
      <c r="N73" t="n">
        <v>16293002.773712</v>
      </c>
      <c r="O73" t="inlineStr">
        <is>
          <t>measured-based</t>
        </is>
      </c>
    </row>
    <row r="74">
      <c r="A74" t="inlineStr">
        <is>
          <t>DETP_BW1115100000001</t>
        </is>
      </c>
      <c r="B74" t="inlineStr">
        <is>
          <t>Hauptklärwerk Mühlhausen</t>
        </is>
      </c>
      <c r="C74" t="n">
        <v>1200000</v>
      </c>
      <c r="D74" t="n">
        <v>0</v>
      </c>
      <c r="E74" t="n">
        <v>62346829</v>
      </c>
      <c r="L74" t="n">
        <v>21600</v>
      </c>
      <c r="M74" t="n">
        <v>72000</v>
      </c>
      <c r="N74" t="n">
        <v>54101250</v>
      </c>
      <c r="O74" t="inlineStr">
        <is>
          <t>literature PE</t>
        </is>
      </c>
    </row>
    <row r="75">
      <c r="A75" t="inlineStr">
        <is>
          <t>DETP_NI201000201</t>
        </is>
      </c>
      <c r="B75" t="inlineStr">
        <is>
          <t>2530002102 KA Herrenhausen</t>
        </is>
      </c>
      <c r="C75" t="n">
        <v>500000</v>
      </c>
      <c r="D75" t="n">
        <v>0</v>
      </c>
      <c r="E75" t="n">
        <v>23135459</v>
      </c>
      <c r="L75" t="n">
        <v>9000</v>
      </c>
      <c r="M75" t="n">
        <v>30000</v>
      </c>
      <c r="N75" t="n">
        <v>22542187.5</v>
      </c>
      <c r="O75" t="inlineStr">
        <is>
          <t>literature PE</t>
        </is>
      </c>
    </row>
    <row r="76">
      <c r="A76" t="inlineStr">
        <is>
          <t>FR037649801000</t>
        </is>
      </c>
      <c r="B76" t="inlineStr">
        <is>
          <t>ROUEN</t>
        </is>
      </c>
      <c r="C76" t="n">
        <v>550000</v>
      </c>
      <c r="D76" t="n">
        <v>0</v>
      </c>
      <c r="E76" t="n">
        <v>95493</v>
      </c>
      <c r="L76" t="n">
        <v>9900</v>
      </c>
      <c r="M76" t="n">
        <v>33000</v>
      </c>
      <c r="N76" t="n">
        <v>24796406.25</v>
      </c>
      <c r="O76" t="inlineStr">
        <is>
          <t>literature PE</t>
        </is>
      </c>
    </row>
    <row r="77">
      <c r="A77" t="inlineStr">
        <is>
          <t>UKENTH_TWU_TP000014</t>
        </is>
      </c>
      <c r="B77" t="inlineStr">
        <is>
          <t>LONDON (Becton STW)</t>
        </is>
      </c>
      <c r="C77" t="n">
        <v>3578977</v>
      </c>
      <c r="D77" t="n">
        <v>0</v>
      </c>
      <c r="E77" t="n">
        <v>195948990.75</v>
      </c>
      <c r="L77" t="n">
        <v>64421.586</v>
      </c>
      <c r="M77" t="n">
        <v>214738.62</v>
      </c>
      <c r="N77" t="n">
        <v>161355941.184375</v>
      </c>
      <c r="O77" t="inlineStr">
        <is>
          <t>literature PE</t>
        </is>
      </c>
    </row>
    <row r="78">
      <c r="A78" t="inlineStr">
        <is>
          <t>DETP_SH56027</t>
        </is>
      </c>
      <c r="B78" t="inlineStr">
        <is>
          <t>Hetlingen</t>
        </is>
      </c>
      <c r="C78" t="n">
        <v>860000</v>
      </c>
      <c r="D78" t="n">
        <v>0</v>
      </c>
      <c r="E78" t="n">
        <v>31714820</v>
      </c>
      <c r="H78" t="n">
        <v>3568.6</v>
      </c>
      <c r="K78" t="n">
        <v>179.58</v>
      </c>
      <c r="L78" t="n">
        <v>15480</v>
      </c>
      <c r="M78" t="n">
        <v>51599.99999999999</v>
      </c>
      <c r="N78" t="n">
        <v>38772562.49999999</v>
      </c>
      <c r="O78" t="inlineStr">
        <is>
          <t>literature PE</t>
        </is>
      </c>
    </row>
    <row r="79">
      <c r="A79" t="inlineStr">
        <is>
          <t>ES9082110001010E</t>
        </is>
      </c>
      <c r="B79" t="inlineStr">
        <is>
          <t>SANT FELIU DE LLOBREGAT</t>
        </is>
      </c>
      <c r="C79" t="n">
        <v>373333</v>
      </c>
      <c r="D79" t="n">
        <v>0</v>
      </c>
      <c r="E79" t="n">
        <v>20795389</v>
      </c>
      <c r="F79" t="n">
        <v>6467.37</v>
      </c>
      <c r="G79" t="n">
        <v>12602.01</v>
      </c>
      <c r="H79" t="n">
        <v>1010.66</v>
      </c>
      <c r="I79" t="n">
        <v>83.18000000000001</v>
      </c>
      <c r="J79" t="n">
        <v>727.84</v>
      </c>
      <c r="K79" t="n">
        <v>214.19</v>
      </c>
      <c r="L79" t="n">
        <v>5447.60468552</v>
      </c>
      <c r="M79" t="n">
        <v>18158.68228506667</v>
      </c>
      <c r="N79" t="n">
        <v>13644547.36076338</v>
      </c>
      <c r="O79" t="inlineStr">
        <is>
          <t>measured-based</t>
        </is>
      </c>
    </row>
    <row r="80">
      <c r="A80" t="inlineStr">
        <is>
          <t>ES1410910002013E</t>
        </is>
      </c>
      <c r="B80" t="inlineStr">
        <is>
          <t>LA RANILLA</t>
        </is>
      </c>
      <c r="C80" t="n">
        <v>350000</v>
      </c>
      <c r="D80" t="n">
        <v>0</v>
      </c>
      <c r="E80" t="n">
        <v>15384243</v>
      </c>
      <c r="L80" t="n">
        <v>6299.999999999999</v>
      </c>
      <c r="M80" t="n">
        <v>21000</v>
      </c>
      <c r="N80" t="n">
        <v>15779531.25</v>
      </c>
      <c r="O80" t="inlineStr">
        <is>
          <t>literature PE</t>
        </is>
      </c>
    </row>
    <row r="81">
      <c r="A81" t="inlineStr">
        <is>
          <t>ATTP_3-11</t>
        </is>
      </c>
      <c r="B81" t="inlineStr">
        <is>
          <t>ARA AWV Schwechat</t>
        </is>
      </c>
      <c r="C81" t="n">
        <v>370000</v>
      </c>
      <c r="D81" t="n">
        <v>0</v>
      </c>
      <c r="E81" t="n">
        <v>9828564</v>
      </c>
      <c r="F81" t="n">
        <v>3086.17</v>
      </c>
      <c r="G81" t="n">
        <v>5631.77</v>
      </c>
      <c r="H81" t="n">
        <v>458.99</v>
      </c>
      <c r="I81" t="n">
        <v>48.16</v>
      </c>
      <c r="J81" t="n">
        <v>309.6</v>
      </c>
      <c r="K81" t="n">
        <v>99.27</v>
      </c>
      <c r="L81" t="n">
        <v>2552.70460392</v>
      </c>
      <c r="M81" t="n">
        <v>8509.015346400001</v>
      </c>
      <c r="N81" t="n">
        <v>6393727.312630876</v>
      </c>
      <c r="O81" t="inlineStr">
        <is>
          <t>measured-based</t>
        </is>
      </c>
    </row>
    <row r="82">
      <c r="A82" t="inlineStr">
        <is>
          <t>EL300001011</t>
        </is>
      </c>
      <c r="B82" t="inlineStr">
        <is>
          <t>PSYTTALIA</t>
        </is>
      </c>
      <c r="C82" t="n">
        <v>5630000</v>
      </c>
      <c r="D82" t="n">
        <v>0</v>
      </c>
      <c r="E82" t="n">
        <v>244325525</v>
      </c>
      <c r="I82" t="n">
        <v>1422.44</v>
      </c>
      <c r="J82" t="n">
        <v>8234.77</v>
      </c>
      <c r="K82" t="n">
        <v>2435.51</v>
      </c>
      <c r="L82" t="n">
        <v>101340</v>
      </c>
      <c r="M82" t="n">
        <v>337799.9999999999</v>
      </c>
      <c r="N82" t="n">
        <v>253825031.25</v>
      </c>
      <c r="O82" t="inlineStr">
        <is>
          <t>literature PE</t>
        </is>
      </c>
    </row>
    <row r="83">
      <c r="A83" t="inlineStr">
        <is>
          <t>BERW6207901</t>
        </is>
      </c>
      <c r="B83" t="inlineStr">
        <is>
          <t>LIEGE OUPEYE</t>
        </is>
      </c>
      <c r="C83" t="n">
        <v>401850</v>
      </c>
      <c r="E83" t="n">
        <v>28516840</v>
      </c>
      <c r="L83" t="n">
        <v>7233.299999999999</v>
      </c>
      <c r="M83" t="n">
        <v>24111</v>
      </c>
      <c r="N83" t="n">
        <v>18117156.09375</v>
      </c>
      <c r="O83" t="inlineStr">
        <is>
          <t>literature PE</t>
        </is>
      </c>
    </row>
    <row r="84">
      <c r="A84" t="inlineStr">
        <is>
          <t>DETP_NW35</t>
        </is>
      </c>
      <c r="B84" t="inlineStr">
        <is>
          <t>Düren</t>
        </is>
      </c>
      <c r="C84" t="n">
        <v>310000</v>
      </c>
      <c r="D84" t="n">
        <v>0</v>
      </c>
      <c r="E84" t="n">
        <v>21316000</v>
      </c>
      <c r="L84" t="n">
        <v>5580</v>
      </c>
      <c r="M84" t="n">
        <v>18600</v>
      </c>
      <c r="N84" t="n">
        <v>13976156.25</v>
      </c>
      <c r="O84" t="inlineStr">
        <is>
          <t>literature PE</t>
        </is>
      </c>
    </row>
    <row r="85">
      <c r="A85" t="inlineStr">
        <is>
          <t>IETP_D0034</t>
        </is>
      </c>
      <c r="B85" t="inlineStr">
        <is>
          <t>Ringsend</t>
        </is>
      </c>
      <c r="C85" t="n">
        <v>1640000</v>
      </c>
      <c r="D85" t="n">
        <v>0</v>
      </c>
      <c r="E85" t="n">
        <v>167403965</v>
      </c>
      <c r="L85" t="n">
        <v>29520</v>
      </c>
      <c r="M85" t="n">
        <v>98399.99999999999</v>
      </c>
      <c r="N85" t="n">
        <v>73938374.99999999</v>
      </c>
      <c r="O85" t="inlineStr">
        <is>
          <t>literature PE</t>
        </is>
      </c>
    </row>
    <row r="86">
      <c r="A86" t="inlineStr">
        <is>
          <t>UKENAN_AW_TP000308</t>
        </is>
      </c>
      <c r="B86" t="inlineStr">
        <is>
          <t>TILBURY STW, TILBURY, ESSEX"</t>
        </is>
      </c>
      <c r="C86" t="n">
        <v>325000</v>
      </c>
      <c r="D86" t="n">
        <v>0</v>
      </c>
      <c r="E86" t="n">
        <v>17793750</v>
      </c>
      <c r="L86" t="n">
        <v>5850</v>
      </c>
      <c r="M86" t="n">
        <v>19500</v>
      </c>
      <c r="N86" t="n">
        <v>14652421.875</v>
      </c>
      <c r="O86" t="inlineStr">
        <is>
          <t>literature PE</t>
        </is>
      </c>
    </row>
    <row r="87">
      <c r="A87" t="inlineStr">
        <is>
          <t>DETP_NW316</t>
        </is>
      </c>
      <c r="B87" t="inlineStr">
        <is>
          <t>Abwasserverband Obere Lutter</t>
        </is>
      </c>
      <c r="C87" t="n">
        <v>380000</v>
      </c>
      <c r="D87" t="n">
        <v>0</v>
      </c>
      <c r="E87" t="n">
        <v>5192052</v>
      </c>
      <c r="L87" t="n">
        <v>6839.999999999999</v>
      </c>
      <c r="M87" t="n">
        <v>22800</v>
      </c>
      <c r="N87" t="n">
        <v>17132062.5</v>
      </c>
      <c r="O87" t="inlineStr">
        <is>
          <t>literature PE</t>
        </is>
      </c>
    </row>
    <row r="88">
      <c r="A88" t="inlineStr">
        <is>
          <t>FR026751900405</t>
        </is>
      </c>
      <c r="B88" t="inlineStr">
        <is>
          <t>STRASBOURG - LA WANTZENAU</t>
        </is>
      </c>
      <c r="C88" t="n">
        <v>1000000</v>
      </c>
      <c r="D88" t="n">
        <v>0</v>
      </c>
      <c r="E88" t="n">
        <v>174368</v>
      </c>
      <c r="L88" t="n">
        <v>18000</v>
      </c>
      <c r="M88" t="n">
        <v>60000</v>
      </c>
      <c r="N88" t="n">
        <v>45084375</v>
      </c>
      <c r="O88" t="inlineStr">
        <is>
          <t>literature PE</t>
        </is>
      </c>
    </row>
    <row r="89">
      <c r="A89" t="inlineStr">
        <is>
          <t>PLZA0011</t>
        </is>
      </c>
      <c r="B89" t="inlineStr">
        <is>
          <t>Pomorzany</t>
        </is>
      </c>
      <c r="C89" t="n">
        <v>418000</v>
      </c>
      <c r="E89" t="n">
        <v>19942000</v>
      </c>
      <c r="G89" t="n">
        <v>19020.68</v>
      </c>
      <c r="H89" t="n">
        <v>1890.5</v>
      </c>
      <c r="I89" t="n">
        <v>99.70999999999999</v>
      </c>
      <c r="J89" t="n">
        <v>568.35</v>
      </c>
      <c r="K89" t="n">
        <v>159.54</v>
      </c>
      <c r="L89" t="n">
        <v>7993.593583439999</v>
      </c>
      <c r="M89" t="n">
        <v>26645.3119448</v>
      </c>
      <c r="N89" t="n">
        <v>20021453.92852237</v>
      </c>
      <c r="O89" t="inlineStr">
        <is>
          <t>measured-based</t>
        </is>
      </c>
    </row>
    <row r="90">
      <c r="A90" t="inlineStr">
        <is>
          <t>DETP_NW1204</t>
        </is>
      </c>
      <c r="B90" t="inlineStr">
        <is>
          <t>Dortmund-Deusen</t>
        </is>
      </c>
      <c r="C90" t="n">
        <v>705000</v>
      </c>
      <c r="D90" t="n">
        <v>0</v>
      </c>
      <c r="E90" t="n">
        <v>52394703</v>
      </c>
      <c r="L90" t="n">
        <v>12690</v>
      </c>
      <c r="M90" t="n">
        <v>42299.99999999999</v>
      </c>
      <c r="N90" t="n">
        <v>31784484.375</v>
      </c>
      <c r="O90" t="inlineStr">
        <is>
          <t>literature PE</t>
        </is>
      </c>
    </row>
    <row r="91">
      <c r="A91" t="inlineStr">
        <is>
          <t>IT19CT00G7001DE001</t>
        </is>
      </c>
      <c r="B91" t="inlineStr">
        <is>
          <t>Impianto_Consortile_Di_Catania</t>
        </is>
      </c>
      <c r="C91" t="n">
        <v>432500</v>
      </c>
      <c r="D91" t="n">
        <v>0</v>
      </c>
      <c r="E91" t="n">
        <v>39069600</v>
      </c>
      <c r="L91" t="n">
        <v>7784.999999999999</v>
      </c>
      <c r="M91" t="n">
        <v>25950</v>
      </c>
      <c r="N91" t="n">
        <v>19498992.1875</v>
      </c>
      <c r="O91" t="inlineStr">
        <is>
          <t>literature PE</t>
        </is>
      </c>
    </row>
    <row r="92">
      <c r="A92" t="inlineStr">
        <is>
          <t>FR060934172001</t>
        </is>
      </c>
      <c r="B92" t="inlineStr">
        <is>
          <t>MAERA (EX CEREIREDE)</t>
        </is>
      </c>
      <c r="C92" t="n">
        <v>466667</v>
      </c>
      <c r="D92" t="n">
        <v>0</v>
      </c>
      <c r="E92" t="n">
        <v>87113</v>
      </c>
      <c r="L92" t="n">
        <v>8400.005999999999</v>
      </c>
      <c r="M92" t="n">
        <v>28000.02</v>
      </c>
      <c r="N92" t="n">
        <v>21039390.028125</v>
      </c>
      <c r="O92" t="inlineStr">
        <is>
          <t>literature PE</t>
        </is>
      </c>
    </row>
    <row r="93">
      <c r="A93" t="inlineStr">
        <is>
          <t>NL11014</t>
        </is>
      </c>
      <c r="B93" t="inlineStr">
        <is>
          <t>UWWTP AMSTERDAM-WEST</t>
        </is>
      </c>
      <c r="C93" t="n">
        <v>733320</v>
      </c>
      <c r="D93" t="n">
        <v>0</v>
      </c>
      <c r="E93" t="n">
        <v>64187428</v>
      </c>
      <c r="F93" t="n">
        <v>15813.762</v>
      </c>
      <c r="G93" t="n">
        <v>36747.279864</v>
      </c>
      <c r="H93" t="n">
        <v>3648.288</v>
      </c>
      <c r="I93" t="n">
        <v>172.386</v>
      </c>
      <c r="J93" t="n">
        <v>2408.28</v>
      </c>
      <c r="K93" t="n">
        <v>486.048</v>
      </c>
      <c r="L93" t="n">
        <v>14846.808824112</v>
      </c>
      <c r="M93" t="n">
        <v>49489.36274704001</v>
      </c>
      <c r="N93" t="n">
        <v>37186616.47664303</v>
      </c>
      <c r="O93" t="inlineStr">
        <is>
          <t>measured-based</t>
        </is>
      </c>
    </row>
    <row r="94">
      <c r="A94" t="inlineStr">
        <is>
          <t>ES7240890002010E</t>
        </is>
      </c>
      <c r="B94" t="inlineStr">
        <is>
          <t>LEON</t>
        </is>
      </c>
      <c r="C94" t="n">
        <v>330000</v>
      </c>
      <c r="D94" t="n">
        <v>0</v>
      </c>
      <c r="E94" t="n">
        <v>29388088</v>
      </c>
      <c r="L94" t="n">
        <v>5940</v>
      </c>
      <c r="M94" t="n">
        <v>19800</v>
      </c>
      <c r="N94" t="n">
        <v>14877843.75</v>
      </c>
      <c r="O94" t="inlineStr">
        <is>
          <t>literature PE</t>
        </is>
      </c>
    </row>
    <row r="95">
      <c r="A95" t="inlineStr">
        <is>
          <t>RO5TM_528</t>
        </is>
      </c>
      <c r="B95" t="inlineStr">
        <is>
          <t>ROWP RA Aquatim Timisoara</t>
        </is>
      </c>
      <c r="C95" t="n">
        <v>440000</v>
      </c>
      <c r="D95" t="n">
        <v>0</v>
      </c>
      <c r="E95" t="n">
        <v>38411760</v>
      </c>
      <c r="F95" t="n">
        <v>6178.86</v>
      </c>
      <c r="G95" t="n">
        <v>14116.24</v>
      </c>
      <c r="H95" t="n">
        <v>1162.59</v>
      </c>
      <c r="I95" t="n">
        <v>168.065</v>
      </c>
      <c r="J95" t="n">
        <v>938.73</v>
      </c>
      <c r="K95" t="n">
        <v>266.35</v>
      </c>
      <c r="L95" t="n">
        <v>5581.78071256</v>
      </c>
      <c r="M95" t="n">
        <v>18605.93570853334</v>
      </c>
      <c r="N95" t="n">
        <v>13980616.37849013</v>
      </c>
      <c r="O95" t="inlineStr">
        <is>
          <t>measured-based</t>
        </is>
      </c>
    </row>
    <row r="96">
      <c r="A96" t="inlineStr">
        <is>
          <t>FR0531555V018</t>
        </is>
      </c>
      <c r="B96" t="inlineStr">
        <is>
          <t>TOULOUSE GINESTOUS</t>
        </is>
      </c>
      <c r="C96" t="n">
        <v>950000</v>
      </c>
      <c r="D96" t="n">
        <v>0</v>
      </c>
      <c r="E96" t="n">
        <v>116674</v>
      </c>
      <c r="L96" t="n">
        <v>17100</v>
      </c>
      <c r="M96" t="n">
        <v>57000</v>
      </c>
      <c r="N96" t="n">
        <v>42830156.25</v>
      </c>
      <c r="O96" t="inlineStr">
        <is>
          <t>literature PE</t>
        </is>
      </c>
    </row>
    <row r="97">
      <c r="A97" t="inlineStr">
        <is>
          <t>IT09RT0017</t>
        </is>
      </c>
      <c r="B97" t="inlineStr">
        <is>
          <t>Idl_San_Colombano</t>
        </is>
      </c>
      <c r="C97" t="n">
        <v>600000</v>
      </c>
      <c r="D97" t="n">
        <v>0</v>
      </c>
      <c r="E97" t="n">
        <v>66713458.5</v>
      </c>
      <c r="I97" t="n">
        <v>142.3</v>
      </c>
      <c r="J97" t="n">
        <v>910.5</v>
      </c>
      <c r="K97" t="n">
        <v>694.2</v>
      </c>
      <c r="L97" t="n">
        <v>10800</v>
      </c>
      <c r="M97" t="n">
        <v>36000</v>
      </c>
      <c r="N97" t="n">
        <v>27050625</v>
      </c>
      <c r="O97" t="inlineStr">
        <is>
          <t>literature PE</t>
        </is>
      </c>
    </row>
    <row r="98">
      <c r="A98" t="inlineStr">
        <is>
          <t>ES10030140002011E</t>
        </is>
      </c>
      <c r="B98" t="inlineStr">
        <is>
          <t>MONTE ORGEGIA</t>
        </is>
      </c>
      <c r="C98" t="n">
        <v>600000</v>
      </c>
      <c r="D98" t="n">
        <v>0</v>
      </c>
      <c r="E98" t="n">
        <v>11904583</v>
      </c>
      <c r="F98" t="n">
        <v>4404.69</v>
      </c>
      <c r="G98" t="n">
        <v>7642.74</v>
      </c>
      <c r="H98" t="n">
        <v>810.22</v>
      </c>
      <c r="I98" t="n">
        <v>59.52</v>
      </c>
      <c r="J98" t="n">
        <v>404.75</v>
      </c>
      <c r="K98" t="n">
        <v>410.82</v>
      </c>
      <c r="L98" t="n">
        <v>4632.42715944</v>
      </c>
      <c r="M98" t="n">
        <v>15441.4238648</v>
      </c>
      <c r="N98" t="n">
        <v>11602782.40090987</v>
      </c>
      <c r="O98" t="inlineStr">
        <is>
          <t>measured-based</t>
        </is>
      </c>
    </row>
    <row r="99">
      <c r="A99" t="inlineStr">
        <is>
          <t>DETP_NW601</t>
        </is>
      </c>
      <c r="B99" t="inlineStr">
        <is>
          <t>Düsseldorf-Süd</t>
        </is>
      </c>
      <c r="C99" t="n">
        <v>1090000</v>
      </c>
      <c r="D99" t="n">
        <v>0</v>
      </c>
      <c r="E99" t="n">
        <v>30695040</v>
      </c>
      <c r="L99" t="n">
        <v>19620</v>
      </c>
      <c r="M99" t="n">
        <v>65400</v>
      </c>
      <c r="N99" t="n">
        <v>49141968.75</v>
      </c>
      <c r="O99" t="inlineStr">
        <is>
          <t>literature PE</t>
        </is>
      </c>
    </row>
    <row r="100">
      <c r="A100" t="inlineStr">
        <is>
          <t>EL122001013</t>
        </is>
      </c>
      <c r="B100" t="inlineStr">
        <is>
          <t>THESSALONIKI</t>
        </is>
      </c>
      <c r="C100" t="n">
        <v>1333000</v>
      </c>
      <c r="D100" t="n">
        <v>0</v>
      </c>
      <c r="E100" t="n">
        <v>52180400</v>
      </c>
      <c r="I100" t="n">
        <v>861.8200000000001</v>
      </c>
      <c r="J100" t="n">
        <v>3520.14</v>
      </c>
      <c r="K100" t="n">
        <v>425.35</v>
      </c>
      <c r="L100" t="n">
        <v>23994</v>
      </c>
      <c r="M100" t="n">
        <v>79980</v>
      </c>
      <c r="N100" t="n">
        <v>60097471.875</v>
      </c>
      <c r="O100" t="inlineStr">
        <is>
          <t>literature PE</t>
        </is>
      </c>
    </row>
    <row r="101">
      <c r="A101" t="inlineStr">
        <is>
          <t>DETP_NW2104</t>
        </is>
      </c>
      <c r="B101" t="inlineStr">
        <is>
          <t>Mönchengladbach GWK I</t>
        </is>
      </c>
      <c r="C101" t="n">
        <v>632500</v>
      </c>
      <c r="D101" t="n">
        <v>0</v>
      </c>
      <c r="E101" t="n">
        <v>27400358</v>
      </c>
      <c r="L101" t="n">
        <v>11385</v>
      </c>
      <c r="M101" t="n">
        <v>37950</v>
      </c>
      <c r="N101" t="n">
        <v>28515867.1875</v>
      </c>
      <c r="O101" t="inlineStr">
        <is>
          <t>literature PE</t>
        </is>
      </c>
    </row>
    <row r="102">
      <c r="A102" t="inlineStr">
        <is>
          <t>DK6070012</t>
        </is>
      </c>
      <c r="B102" t="inlineStr">
        <is>
          <t>FREDERICIA CENTRALRENS.</t>
        </is>
      </c>
      <c r="C102" t="n">
        <v>420000</v>
      </c>
      <c r="D102" t="n">
        <v>0</v>
      </c>
      <c r="E102" t="n">
        <v>10055011</v>
      </c>
      <c r="F102" t="n">
        <v>4522</v>
      </c>
      <c r="G102" t="n">
        <v>9196.9</v>
      </c>
      <c r="H102" t="n">
        <v>435.4</v>
      </c>
      <c r="I102" t="n">
        <v>25</v>
      </c>
      <c r="J102" t="n">
        <v>381.9</v>
      </c>
      <c r="K102" t="n">
        <v>43.8</v>
      </c>
      <c r="L102" t="n">
        <v>3160.609152</v>
      </c>
      <c r="M102" t="n">
        <v>10535.36384</v>
      </c>
      <c r="N102" t="n">
        <v>7916338.235399999</v>
      </c>
      <c r="O102" t="inlineStr">
        <is>
          <t>measured-based</t>
        </is>
      </c>
    </row>
    <row r="103">
      <c r="A103" t="inlineStr">
        <is>
          <t>UKENTH_TWU_TP000054</t>
        </is>
      </c>
      <c r="B103" t="inlineStr">
        <is>
          <t>LONDON (Deepham STW)</t>
        </is>
      </c>
      <c r="C103" t="n">
        <v>1071689</v>
      </c>
      <c r="D103" t="n">
        <v>0</v>
      </c>
      <c r="E103" t="n">
        <v>58674972.75</v>
      </c>
      <c r="L103" t="n">
        <v>19290.402</v>
      </c>
      <c r="M103" t="n">
        <v>64301.34</v>
      </c>
      <c r="N103" t="n">
        <v>48316428.759375</v>
      </c>
      <c r="O103" t="inlineStr">
        <is>
          <t>literature PE</t>
        </is>
      </c>
    </row>
    <row r="104">
      <c r="A104" t="inlineStr">
        <is>
          <t>ES3330242402020E</t>
        </is>
      </c>
      <c r="B104" t="inlineStr">
        <is>
          <t>GIJON OESTE</t>
        </is>
      </c>
      <c r="C104" t="n">
        <v>384866</v>
      </c>
      <c r="D104" t="n">
        <v>0</v>
      </c>
      <c r="E104" t="n">
        <v>19879629</v>
      </c>
      <c r="F104" t="n">
        <v>5943.38</v>
      </c>
      <c r="G104" t="n">
        <v>9999.75</v>
      </c>
      <c r="I104" t="n">
        <v>1428.71</v>
      </c>
      <c r="J104" t="n">
        <v>2638.49</v>
      </c>
      <c r="L104" t="n">
        <v>6927.588</v>
      </c>
      <c r="M104" t="n">
        <v>23091.96</v>
      </c>
      <c r="N104" t="n">
        <v>17351443.06875</v>
      </c>
      <c r="O104" t="inlineStr">
        <is>
          <t>literature PE</t>
        </is>
      </c>
    </row>
    <row r="105">
      <c r="A105" t="inlineStr">
        <is>
          <t>FR037800501000</t>
        </is>
      </c>
      <c r="B105" t="inlineStr">
        <is>
          <t>PARIS SEINE AVAL</t>
        </is>
      </c>
      <c r="C105" t="n">
        <v>7500000</v>
      </c>
      <c r="D105" t="n">
        <v>0</v>
      </c>
      <c r="E105" t="n">
        <v>1297336</v>
      </c>
      <c r="L105" t="n">
        <v>135000</v>
      </c>
      <c r="M105" t="n">
        <v>450000</v>
      </c>
      <c r="N105" t="n">
        <v>338132812.5</v>
      </c>
      <c r="O105" t="inlineStr">
        <is>
          <t>literature PE</t>
        </is>
      </c>
    </row>
    <row r="106">
      <c r="A106" t="inlineStr">
        <is>
          <t>CZ4205-763691-26161516-4/1U</t>
        </is>
      </c>
      <c r="B106" t="inlineStr">
        <is>
          <t>COV Steti -Papirny Mondi</t>
        </is>
      </c>
      <c r="C106" t="n">
        <v>567000</v>
      </c>
      <c r="D106" t="n">
        <v>0</v>
      </c>
      <c r="E106" t="n">
        <v>33075043</v>
      </c>
      <c r="L106" t="n">
        <v>10206</v>
      </c>
      <c r="M106" t="n">
        <v>34020</v>
      </c>
      <c r="N106" t="n">
        <v>25562840.625</v>
      </c>
      <c r="O106" t="inlineStr">
        <is>
          <t>literature PE</t>
        </is>
      </c>
    </row>
    <row r="107">
      <c r="A107" t="inlineStr">
        <is>
          <t>PLLE0010</t>
        </is>
      </c>
      <c r="B107" t="inlineStr">
        <is>
          <t>Lublin-Hajdów</t>
        </is>
      </c>
      <c r="C107" t="n">
        <v>694833</v>
      </c>
      <c r="E107" t="n">
        <v>26318000</v>
      </c>
      <c r="G107" t="n">
        <v>36345.16</v>
      </c>
      <c r="H107" t="n">
        <v>2526.53</v>
      </c>
      <c r="I107" t="n">
        <v>150.01</v>
      </c>
      <c r="J107" t="n">
        <v>923.76</v>
      </c>
      <c r="K107" t="n">
        <v>282.13</v>
      </c>
      <c r="L107" t="n">
        <v>13786.89927088</v>
      </c>
      <c r="M107" t="n">
        <v>45956.33090293335</v>
      </c>
      <c r="N107" t="n">
        <v>34531874.26753226</v>
      </c>
      <c r="O107" t="inlineStr">
        <is>
          <t>measured-based</t>
        </is>
      </c>
    </row>
    <row r="108">
      <c r="A108" t="inlineStr">
        <is>
          <t>LV100175</t>
        </is>
      </c>
      <c r="B108" t="inlineStr">
        <is>
          <t>BAI "Daugavgrīva"</t>
        </is>
      </c>
      <c r="C108" t="n">
        <v>1030000</v>
      </c>
      <c r="E108" t="n">
        <v>48881917</v>
      </c>
      <c r="F108" t="n">
        <v>15311.977</v>
      </c>
      <c r="G108" t="n">
        <v>38986.417</v>
      </c>
      <c r="H108" t="n">
        <v>3281.731</v>
      </c>
      <c r="I108" t="n">
        <v>338.337</v>
      </c>
      <c r="J108" t="n">
        <v>2155.581</v>
      </c>
      <c r="K108" t="n">
        <v>291.938</v>
      </c>
      <c r="L108" t="n">
        <v>13388.401523672</v>
      </c>
      <c r="M108" t="n">
        <v>44628.00507890668</v>
      </c>
      <c r="N108" t="n">
        <v>33533761.94132222</v>
      </c>
      <c r="O108" t="inlineStr">
        <is>
          <t>measured-based</t>
        </is>
      </c>
    </row>
    <row r="109">
      <c r="A109" t="inlineStr">
        <is>
          <t>UKENNW_UU_TP000133</t>
        </is>
      </c>
      <c r="B109" t="inlineStr">
        <is>
          <t>WIGAN (HOSCAR) STW</t>
        </is>
      </c>
      <c r="C109" t="n">
        <v>410498</v>
      </c>
      <c r="D109" t="n">
        <v>0</v>
      </c>
      <c r="E109" t="n">
        <v>22474765.5</v>
      </c>
      <c r="L109" t="n">
        <v>7388.963999999999</v>
      </c>
      <c r="M109" t="n">
        <v>24629.88</v>
      </c>
      <c r="N109" t="n">
        <v>18507045.76875</v>
      </c>
      <c r="O109" t="inlineStr">
        <is>
          <t>literature PE</t>
        </is>
      </c>
    </row>
    <row r="110">
      <c r="A110" t="inlineStr">
        <is>
          <t>ES6390850005010E</t>
        </is>
      </c>
      <c r="B110" t="inlineStr">
        <is>
          <t>VUELTA OSTRERA</t>
        </is>
      </c>
      <c r="C110" t="n">
        <v>310000</v>
      </c>
      <c r="D110" t="n">
        <v>0</v>
      </c>
      <c r="E110" t="n">
        <v>18298737</v>
      </c>
      <c r="I110" t="n">
        <v>360</v>
      </c>
      <c r="J110" t="n">
        <v>1202</v>
      </c>
      <c r="K110" t="n">
        <v>257</v>
      </c>
      <c r="L110" t="n">
        <v>5580</v>
      </c>
      <c r="M110" t="n">
        <v>18600</v>
      </c>
      <c r="N110" t="n">
        <v>13976156.25</v>
      </c>
      <c r="O110" t="inlineStr">
        <is>
          <t>literature PE</t>
        </is>
      </c>
    </row>
    <row r="111">
      <c r="A111" t="inlineStr">
        <is>
          <t>IT15Q15000000002</t>
        </is>
      </c>
      <c r="B111" t="inlineStr">
        <is>
          <t>Orta_Di_Atella_Ce_Impianto_Napoli_Nord</t>
        </is>
      </c>
      <c r="C111" t="n">
        <v>886000</v>
      </c>
      <c r="D111" t="n">
        <v>0</v>
      </c>
      <c r="E111" t="n">
        <v>22082500</v>
      </c>
      <c r="F111" t="n">
        <v>0</v>
      </c>
      <c r="G111" t="n">
        <v>0</v>
      </c>
      <c r="I111" t="n">
        <v>0</v>
      </c>
      <c r="J111" t="n">
        <v>0</v>
      </c>
      <c r="L111" t="n">
        <v>15948</v>
      </c>
      <c r="M111" t="n">
        <v>53159.99999999999</v>
      </c>
      <c r="N111" t="n">
        <v>39944756.24999999</v>
      </c>
      <c r="O111" t="inlineStr">
        <is>
          <t>literature PE</t>
        </is>
      </c>
    </row>
    <row r="112">
      <c r="A112" t="inlineStr">
        <is>
          <t>FR060969152001</t>
        </is>
      </c>
      <c r="B112" t="inlineStr">
        <is>
          <t>LYON - PIERRE BÉNITE</t>
        </is>
      </c>
      <c r="C112" t="n">
        <v>950000</v>
      </c>
      <c r="D112" t="n">
        <v>0</v>
      </c>
      <c r="E112" t="n">
        <v>141619</v>
      </c>
      <c r="L112" t="n">
        <v>17100</v>
      </c>
      <c r="M112" t="n">
        <v>57000</v>
      </c>
      <c r="N112" t="n">
        <v>42830156.25</v>
      </c>
      <c r="O112" t="inlineStr">
        <is>
          <t>literature PE</t>
        </is>
      </c>
    </row>
    <row r="113">
      <c r="A113" t="inlineStr">
        <is>
          <t>IT15Q15000000001</t>
        </is>
      </c>
      <c r="B113" t="inlineStr">
        <is>
          <t>Caivano_Depuratore_Di_Acerra</t>
        </is>
      </c>
      <c r="C113" t="n">
        <v>828000</v>
      </c>
      <c r="D113" t="n">
        <v>0</v>
      </c>
      <c r="E113" t="n">
        <v>23759675</v>
      </c>
      <c r="F113" t="n">
        <v>0</v>
      </c>
      <c r="G113" t="n">
        <v>0</v>
      </c>
      <c r="I113" t="n">
        <v>0</v>
      </c>
      <c r="J113" t="n">
        <v>0</v>
      </c>
      <c r="L113" t="n">
        <v>14904</v>
      </c>
      <c r="M113" t="n">
        <v>49679.99999999999</v>
      </c>
      <c r="N113" t="n">
        <v>37329862.49999999</v>
      </c>
      <c r="O113" t="inlineStr">
        <is>
          <t>literature PE</t>
        </is>
      </c>
    </row>
    <row r="114">
      <c r="A114" t="inlineStr">
        <is>
          <t>CZ6203-697931-46347275-4/1U</t>
        </is>
      </c>
      <c r="B114" t="inlineStr">
        <is>
          <t>COV Brno - Modrice</t>
        </is>
      </c>
      <c r="C114" t="n">
        <v>640000</v>
      </c>
      <c r="D114" t="n">
        <v>0</v>
      </c>
      <c r="E114" t="n">
        <v>36783488</v>
      </c>
      <c r="L114" t="n">
        <v>11520</v>
      </c>
      <c r="M114" t="n">
        <v>38400</v>
      </c>
      <c r="N114" t="n">
        <v>28854000</v>
      </c>
      <c r="O114" t="inlineStr">
        <is>
          <t>literature PE</t>
        </is>
      </c>
    </row>
    <row r="115">
      <c r="A115" t="inlineStr">
        <is>
          <t>RO1IS_51</t>
        </is>
      </c>
      <c r="B115" t="inlineStr">
        <is>
          <t>ROWP DANCU IASI</t>
        </is>
      </c>
      <c r="C115" t="n">
        <v>1030681</v>
      </c>
      <c r="D115" t="n">
        <v>0</v>
      </c>
      <c r="E115" t="n">
        <v>44929512</v>
      </c>
      <c r="F115" t="n">
        <v>5915.875</v>
      </c>
      <c r="G115" t="n">
        <v>9815.6</v>
      </c>
      <c r="H115" t="n">
        <v>1442.585</v>
      </c>
      <c r="I115" t="n">
        <v>412.041</v>
      </c>
      <c r="J115" t="n">
        <v>984.0309999999999</v>
      </c>
      <c r="K115" t="n">
        <v>269.652</v>
      </c>
      <c r="L115" t="n">
        <v>5641.70206692</v>
      </c>
      <c r="M115" t="n">
        <v>18805.6735564</v>
      </c>
      <c r="N115" t="n">
        <v>14130700.64573869</v>
      </c>
      <c r="O115" t="inlineStr">
        <is>
          <t>measured-based</t>
        </is>
      </c>
    </row>
    <row r="116">
      <c r="A116" t="inlineStr">
        <is>
          <t>DETP_BYAB-K0033</t>
        </is>
      </c>
      <c r="B116" t="inlineStr">
        <is>
          <t>Würzburg</t>
        </is>
      </c>
      <c r="C116" t="n">
        <v>360000</v>
      </c>
      <c r="D116" t="n">
        <v>0</v>
      </c>
      <c r="E116" t="n">
        <v>18808611</v>
      </c>
      <c r="H116" t="n">
        <v>817.73</v>
      </c>
      <c r="K116" t="n">
        <v>181.69</v>
      </c>
      <c r="L116" t="n">
        <v>6479.999999999999</v>
      </c>
      <c r="M116" t="n">
        <v>21600</v>
      </c>
      <c r="N116" t="n">
        <v>16230375</v>
      </c>
      <c r="O116" t="inlineStr">
        <is>
          <t>literature PE</t>
        </is>
      </c>
    </row>
    <row r="117">
      <c r="A117" t="inlineStr">
        <is>
          <t>HU-WWTP-AIA512</t>
        </is>
      </c>
      <c r="B117" t="inlineStr">
        <is>
          <t>Debrecen - Szennyviztisztito Telep</t>
        </is>
      </c>
      <c r="C117" t="n">
        <v>675000</v>
      </c>
      <c r="D117" t="n">
        <v>0</v>
      </c>
      <c r="E117" t="n">
        <v>14727989</v>
      </c>
      <c r="F117" t="n">
        <v>13600.451</v>
      </c>
      <c r="G117" t="n">
        <v>21176.107</v>
      </c>
      <c r="H117" t="n">
        <v>989.2809999999999</v>
      </c>
      <c r="I117" t="n">
        <v>81.004</v>
      </c>
      <c r="J117" t="n">
        <v>589.12</v>
      </c>
      <c r="K117" t="n">
        <v>203.246</v>
      </c>
      <c r="L117" t="n">
        <v>9006.280744231999</v>
      </c>
      <c r="M117" t="n">
        <v>30020.93581410667</v>
      </c>
      <c r="N117" t="n">
        <v>22557918.80156859</v>
      </c>
      <c r="O117" t="inlineStr">
        <is>
          <t>measured-based</t>
        </is>
      </c>
    </row>
    <row r="118">
      <c r="A118" t="inlineStr">
        <is>
          <t>DETP_BW1215100000017</t>
        </is>
      </c>
      <c r="B118" t="inlineStr">
        <is>
          <t>SKA Heilbronn</t>
        </is>
      </c>
      <c r="C118" t="n">
        <v>500000</v>
      </c>
      <c r="D118" t="n">
        <v>0</v>
      </c>
      <c r="E118" t="n">
        <v>24443200</v>
      </c>
      <c r="L118" t="n">
        <v>9000</v>
      </c>
      <c r="M118" t="n">
        <v>30000</v>
      </c>
      <c r="N118" t="n">
        <v>22542187.5</v>
      </c>
      <c r="O118" t="inlineStr">
        <is>
          <t>literature PE</t>
        </is>
      </c>
    </row>
    <row r="119">
      <c r="A119" t="inlineStr">
        <is>
          <t>ES1110200014010E</t>
        </is>
      </c>
      <c r="B119" t="inlineStr">
        <is>
          <t>GUADALETE</t>
        </is>
      </c>
      <c r="C119" t="n">
        <v>864000</v>
      </c>
      <c r="D119" t="n">
        <v>0</v>
      </c>
      <c r="E119" t="n">
        <v>17170229</v>
      </c>
      <c r="L119" t="n">
        <v>15552</v>
      </c>
      <c r="M119" t="n">
        <v>51839.99999999999</v>
      </c>
      <c r="N119" t="n">
        <v>38952899.99999999</v>
      </c>
      <c r="O119" t="inlineStr">
        <is>
          <t>literature PE</t>
        </is>
      </c>
    </row>
    <row r="120">
      <c r="A120" t="inlineStr">
        <is>
          <t>PLWL1330</t>
        </is>
      </c>
      <c r="B120" t="inlineStr">
        <is>
          <t>Dopiewo</t>
        </is>
      </c>
      <c r="C120" t="n">
        <v>999999</v>
      </c>
      <c r="E120" t="n">
        <v>303000</v>
      </c>
      <c r="G120" t="n">
        <v>481.77</v>
      </c>
      <c r="H120" t="n">
        <v>38.78</v>
      </c>
      <c r="I120" t="n">
        <v>2.42</v>
      </c>
      <c r="J120" t="n">
        <v>23.33</v>
      </c>
      <c r="K120" t="n">
        <v>7.58</v>
      </c>
      <c r="L120" t="n">
        <v>196.66465196</v>
      </c>
      <c r="M120" t="n">
        <v>655.5488398666668</v>
      </c>
      <c r="N120" t="n">
        <v>492583.4954560625</v>
      </c>
      <c r="O120" t="inlineStr">
        <is>
          <t>measured-based</t>
        </is>
      </c>
    </row>
    <row r="121">
      <c r="A121" t="inlineStr">
        <is>
          <t>DETP_NW2101</t>
        </is>
      </c>
      <c r="B121" t="inlineStr">
        <is>
          <t>Düsseldorf-Nord</t>
        </is>
      </c>
      <c r="C121" t="n">
        <v>600000</v>
      </c>
      <c r="D121" t="n">
        <v>0</v>
      </c>
      <c r="E121" t="n">
        <v>27795480</v>
      </c>
      <c r="L121" t="n">
        <v>10800</v>
      </c>
      <c r="M121" t="n">
        <v>36000</v>
      </c>
      <c r="N121" t="n">
        <v>27050625</v>
      </c>
      <c r="O121" t="inlineStr">
        <is>
          <t>literature PE</t>
        </is>
      </c>
    </row>
    <row r="122">
      <c r="A122" t="inlineStr">
        <is>
          <t>IT01000000000043</t>
        </is>
      </c>
      <c r="B122" t="inlineStr">
        <is>
          <t>Castiglione</t>
        </is>
      </c>
      <c r="C122" t="n">
        <v>3840000</v>
      </c>
      <c r="D122" t="n">
        <v>0</v>
      </c>
      <c r="E122" t="n">
        <v>210253870</v>
      </c>
      <c r="F122" t="n">
        <v>59325</v>
      </c>
      <c r="G122" t="n">
        <v>99911</v>
      </c>
      <c r="I122" t="n">
        <v>833</v>
      </c>
      <c r="J122" t="n">
        <v>3758</v>
      </c>
      <c r="L122" t="n">
        <v>69120</v>
      </c>
      <c r="M122" t="n">
        <v>230400</v>
      </c>
      <c r="N122" t="n">
        <v>173124000</v>
      </c>
      <c r="O122" t="inlineStr">
        <is>
          <t>literature PE</t>
        </is>
      </c>
    </row>
    <row r="123">
      <c r="A123" t="inlineStr">
        <is>
          <t>FR037862401000</t>
        </is>
      </c>
      <c r="B123" t="inlineStr">
        <is>
          <t>PARIS SEINE GRÉSILLONS</t>
        </is>
      </c>
      <c r="C123" t="n">
        <v>1212000</v>
      </c>
      <c r="D123" t="n">
        <v>0</v>
      </c>
      <c r="E123" t="n">
        <v>245350</v>
      </c>
      <c r="L123" t="n">
        <v>21816</v>
      </c>
      <c r="M123" t="n">
        <v>72720</v>
      </c>
      <c r="N123" t="n">
        <v>54642262.5</v>
      </c>
      <c r="O123" t="inlineStr">
        <is>
          <t>literature PE</t>
        </is>
      </c>
    </row>
    <row r="124">
      <c r="A124" t="inlineStr">
        <is>
          <t>DETP_NW3008</t>
        </is>
      </c>
      <c r="B124" t="inlineStr">
        <is>
          <t>Münster-Hauptkläranlage</t>
        </is>
      </c>
      <c r="C124" t="n">
        <v>335000</v>
      </c>
      <c r="D124" t="n">
        <v>0</v>
      </c>
      <c r="E124" t="n">
        <v>23161440</v>
      </c>
      <c r="L124" t="n">
        <v>6029.999999999999</v>
      </c>
      <c r="M124" t="n">
        <v>20100</v>
      </c>
      <c r="N124" t="n">
        <v>15103265.625</v>
      </c>
      <c r="O124" t="inlineStr">
        <is>
          <t>literature PE</t>
        </is>
      </c>
    </row>
    <row r="125">
      <c r="A125" t="inlineStr">
        <is>
          <t>DETP_NW2138</t>
        </is>
      </c>
      <c r="B125" t="inlineStr">
        <is>
          <t>Neuss-Ost</t>
        </is>
      </c>
      <c r="C125" t="n">
        <v>420000</v>
      </c>
      <c r="D125" t="n">
        <v>0</v>
      </c>
      <c r="E125" t="n">
        <v>10650316</v>
      </c>
      <c r="L125" t="n">
        <v>7559.999999999999</v>
      </c>
      <c r="M125" t="n">
        <v>25200</v>
      </c>
      <c r="N125" t="n">
        <v>18935437.5</v>
      </c>
      <c r="O125" t="inlineStr">
        <is>
          <t>literature PE</t>
        </is>
      </c>
    </row>
    <row r="126">
      <c r="A126" t="inlineStr">
        <is>
          <t>ES6390750005010E</t>
        </is>
      </c>
      <c r="B126" t="inlineStr">
        <is>
          <t>SAN ROMÁN</t>
        </is>
      </c>
      <c r="C126" t="n">
        <v>428000</v>
      </c>
      <c r="D126" t="n">
        <v>0</v>
      </c>
      <c r="E126" t="n">
        <v>57361273</v>
      </c>
      <c r="I126" t="n">
        <v>1140</v>
      </c>
      <c r="J126" t="n">
        <v>4480</v>
      </c>
      <c r="K126" t="n">
        <v>1549</v>
      </c>
      <c r="L126" t="n">
        <v>7703.999999999999</v>
      </c>
      <c r="M126" t="n">
        <v>25680</v>
      </c>
      <c r="N126" t="n">
        <v>19296112.5</v>
      </c>
      <c r="O126" t="inlineStr">
        <is>
          <t>literature PE</t>
        </is>
      </c>
    </row>
    <row r="127">
      <c r="A127" t="inlineStr">
        <is>
          <t>UKENTH_TWU_TP000052</t>
        </is>
      </c>
      <c r="B127" t="inlineStr">
        <is>
          <t>LONDON (Crossness STW)</t>
        </is>
      </c>
      <c r="C127" t="n">
        <v>2139184</v>
      </c>
      <c r="D127" t="n">
        <v>0</v>
      </c>
      <c r="E127" t="n">
        <v>117120324</v>
      </c>
      <c r="L127" t="n">
        <v>38505.312</v>
      </c>
      <c r="M127" t="n">
        <v>128351.04</v>
      </c>
      <c r="N127" t="n">
        <v>96443773.64999999</v>
      </c>
      <c r="O127" t="inlineStr">
        <is>
          <t>literature PE</t>
        </is>
      </c>
    </row>
    <row r="128">
      <c r="A128" t="inlineStr">
        <is>
          <t>IT19SR00G7002DE001</t>
        </is>
      </c>
      <c r="B128" t="inlineStr">
        <is>
          <t>Impianto_C_Da_Magnisi_Casale_Vecchie_Saline_Depuratore_Ias_Priolo</t>
        </is>
      </c>
      <c r="C128" t="n">
        <v>750000</v>
      </c>
      <c r="D128" t="n">
        <v>0</v>
      </c>
      <c r="E128" t="n">
        <v>41062500</v>
      </c>
      <c r="L128" t="n">
        <v>13500</v>
      </c>
      <c r="M128" t="n">
        <v>44999.99999999999</v>
      </c>
      <c r="N128" t="n">
        <v>33813281.24999999</v>
      </c>
      <c r="O128" t="inlineStr">
        <is>
          <t>literature PE</t>
        </is>
      </c>
    </row>
    <row r="129">
      <c r="A129" t="inlineStr">
        <is>
          <t>PLDO0011</t>
        </is>
      </c>
      <c r="B129" t="inlineStr">
        <is>
          <t>Wrocławska Oczyszczalnia Ścieków</t>
        </is>
      </c>
      <c r="C129" t="n">
        <v>1050000</v>
      </c>
      <c r="E129" t="n">
        <v>53545000</v>
      </c>
      <c r="G129" t="n">
        <v>46477.06</v>
      </c>
      <c r="H129" t="n">
        <v>4412.11</v>
      </c>
      <c r="I129" t="n">
        <v>235.6</v>
      </c>
      <c r="J129" t="n">
        <v>1370.75</v>
      </c>
      <c r="K129" t="n">
        <v>583.64</v>
      </c>
      <c r="L129" t="n">
        <v>19810.00718048</v>
      </c>
      <c r="M129" t="n">
        <v>66033.35726826667</v>
      </c>
      <c r="N129" t="n">
        <v>49617877.35985851</v>
      </c>
      <c r="O129" t="inlineStr">
        <is>
          <t>measured-based</t>
        </is>
      </c>
    </row>
    <row r="130">
      <c r="A130" t="inlineStr">
        <is>
          <t>ES9082790004050E</t>
        </is>
      </c>
      <c r="B130" t="inlineStr">
        <is>
          <t>TERRASSA</t>
        </is>
      </c>
      <c r="C130" t="n">
        <v>400000</v>
      </c>
      <c r="D130" t="n">
        <v>0</v>
      </c>
      <c r="E130" t="n">
        <v>5293756</v>
      </c>
      <c r="F130" t="n">
        <v>1328.73</v>
      </c>
      <c r="G130" t="n">
        <v>2641.58</v>
      </c>
      <c r="H130" t="n">
        <v>329.8</v>
      </c>
      <c r="I130" t="n">
        <v>31.76</v>
      </c>
      <c r="J130" t="n">
        <v>153.52</v>
      </c>
      <c r="K130" t="n">
        <v>64.05</v>
      </c>
      <c r="L130" t="n">
        <v>1332.26032488</v>
      </c>
      <c r="M130" t="n">
        <v>4440.867749600001</v>
      </c>
      <c r="N130" t="n">
        <v>3336895.782472876</v>
      </c>
      <c r="O130" t="inlineStr">
        <is>
          <t>measured-based</t>
        </is>
      </c>
    </row>
    <row r="131">
      <c r="A131" t="inlineStr">
        <is>
          <t>UKENNW_UU_TP000042</t>
        </is>
      </c>
      <c r="B131" t="inlineStr">
        <is>
          <t>Manchester and Salford (Davyhulme)STW</t>
        </is>
      </c>
      <c r="C131" t="n">
        <v>1200000</v>
      </c>
      <c r="D131" t="n">
        <v>0</v>
      </c>
      <c r="E131" t="n">
        <v>613542187.5</v>
      </c>
      <c r="L131" t="n">
        <v>21600</v>
      </c>
      <c r="M131" t="n">
        <v>72000</v>
      </c>
      <c r="N131" t="n">
        <v>54101250</v>
      </c>
      <c r="O131" t="inlineStr">
        <is>
          <t>literature PE</t>
        </is>
      </c>
    </row>
    <row r="132">
      <c r="A132" t="inlineStr">
        <is>
          <t>IT09RT0504</t>
        </is>
      </c>
      <c r="B132" t="inlineStr">
        <is>
          <t>Idi_Aquarno</t>
        </is>
      </c>
      <c r="C132" t="n">
        <v>2050000</v>
      </c>
      <c r="D132" t="n">
        <v>0</v>
      </c>
      <c r="E132" t="n">
        <v>7457690</v>
      </c>
      <c r="I132" t="n">
        <v>42.51</v>
      </c>
      <c r="J132" t="n">
        <v>1028.73</v>
      </c>
      <c r="K132" t="n">
        <v>155.87</v>
      </c>
      <c r="L132" t="n">
        <v>36900</v>
      </c>
      <c r="M132" t="n">
        <v>123000</v>
      </c>
      <c r="N132" t="n">
        <v>92422968.75</v>
      </c>
      <c r="O132" t="inlineStr">
        <is>
          <t>literature PE</t>
        </is>
      </c>
    </row>
    <row r="133">
      <c r="A133" t="inlineStr">
        <is>
          <t>ES1410910002012E</t>
        </is>
      </c>
      <c r="B133" t="inlineStr">
        <is>
          <t>COPERO</t>
        </is>
      </c>
      <c r="C133" t="n">
        <v>950000</v>
      </c>
      <c r="D133" t="n">
        <v>0</v>
      </c>
      <c r="E133" t="n">
        <v>37192968</v>
      </c>
      <c r="L133" t="n">
        <v>17100</v>
      </c>
      <c r="M133" t="n">
        <v>57000</v>
      </c>
      <c r="N133" t="n">
        <v>42830156.25</v>
      </c>
      <c r="O133" t="inlineStr">
        <is>
          <t>literature PE</t>
        </is>
      </c>
    </row>
    <row r="134">
      <c r="A134" t="inlineStr">
        <is>
          <t>FR025745200219</t>
        </is>
      </c>
      <c r="B134" t="inlineStr">
        <is>
          <t>METZ</t>
        </is>
      </c>
      <c r="C134" t="n">
        <v>440000</v>
      </c>
      <c r="D134" t="n">
        <v>0</v>
      </c>
      <c r="E134" t="n">
        <v>73855</v>
      </c>
      <c r="L134" t="n">
        <v>7919.999999999999</v>
      </c>
      <c r="M134" t="n">
        <v>26400</v>
      </c>
      <c r="N134" t="n">
        <v>19837125</v>
      </c>
      <c r="O134" t="inlineStr">
        <is>
          <t>literature PE</t>
        </is>
      </c>
    </row>
    <row r="135">
      <c r="A135" t="inlineStr">
        <is>
          <t>FIJVP_O000000000101</t>
        </is>
      </c>
      <c r="B135" t="inlineStr">
        <is>
          <t>TP (101) of Helsingin kt.</t>
        </is>
      </c>
      <c r="C135" t="n">
        <v>1322000</v>
      </c>
      <c r="D135" t="n">
        <v>0</v>
      </c>
      <c r="E135" t="n">
        <v>109812703</v>
      </c>
      <c r="L135" t="n">
        <v>23796</v>
      </c>
      <c r="M135" t="n">
        <v>79320</v>
      </c>
      <c r="N135" t="n">
        <v>59601543.75</v>
      </c>
      <c r="O135" t="inlineStr">
        <is>
          <t>literature PE</t>
        </is>
      </c>
    </row>
    <row r="136">
      <c r="A136" t="inlineStr">
        <is>
          <t>ES14300160001030E</t>
        </is>
      </c>
      <c r="B136" t="inlineStr">
        <is>
          <t>CARTAGENA (CABEZO BEAZA)</t>
        </is>
      </c>
      <c r="C136" t="n">
        <v>379167</v>
      </c>
      <c r="D136" t="n">
        <v>0</v>
      </c>
      <c r="E136" t="n">
        <v>8861116</v>
      </c>
      <c r="F136" t="n">
        <v>3351.85</v>
      </c>
      <c r="G136" t="n">
        <v>6699</v>
      </c>
      <c r="H136" t="n">
        <v>745.9</v>
      </c>
      <c r="I136" t="n">
        <v>98.39</v>
      </c>
      <c r="J136" t="n">
        <v>366.4</v>
      </c>
      <c r="K136" t="n">
        <v>216.52</v>
      </c>
      <c r="L136" t="n">
        <v>3385.9908364</v>
      </c>
      <c r="M136" t="n">
        <v>11286.63612133333</v>
      </c>
      <c r="N136" t="n">
        <v>8480848.923045626</v>
      </c>
      <c r="O136" t="inlineStr">
        <is>
          <t>measured-based</t>
        </is>
      </c>
    </row>
    <row r="137">
      <c r="A137" t="inlineStr">
        <is>
          <t>IT15Q15000000006</t>
        </is>
      </c>
      <c r="B137" t="inlineStr">
        <is>
          <t>Marcianise_Ce_Depuratore_Di_Marcianise</t>
        </is>
      </c>
      <c r="C137" t="n">
        <v>803110</v>
      </c>
      <c r="D137" t="n">
        <v>0</v>
      </c>
      <c r="E137" t="n">
        <v>71664755</v>
      </c>
      <c r="F137" t="n">
        <v>0</v>
      </c>
      <c r="G137" t="n">
        <v>0</v>
      </c>
      <c r="I137" t="n">
        <v>0</v>
      </c>
      <c r="J137" t="n">
        <v>0</v>
      </c>
      <c r="L137" t="n">
        <v>14455.98</v>
      </c>
      <c r="M137" t="n">
        <v>48186.6</v>
      </c>
      <c r="N137" t="n">
        <v>36207712.40625</v>
      </c>
      <c r="O137" t="inlineStr">
        <is>
          <t>literature PE</t>
        </is>
      </c>
    </row>
    <row r="138">
      <c r="A138" t="inlineStr">
        <is>
          <t>DETP_BYDON-K0220</t>
        </is>
      </c>
      <c r="B138" t="inlineStr">
        <is>
          <t>Zweckverband Klärwerk Steinhäule</t>
        </is>
      </c>
      <c r="C138" t="n">
        <v>445000</v>
      </c>
      <c r="D138" t="n">
        <v>0</v>
      </c>
      <c r="E138" t="n">
        <v>36465135</v>
      </c>
      <c r="H138" t="n">
        <v>1687.4</v>
      </c>
      <c r="K138" t="n">
        <v>241.76</v>
      </c>
      <c r="L138" t="n">
        <v>8009.999999999999</v>
      </c>
      <c r="M138" t="n">
        <v>26700</v>
      </c>
      <c r="N138" t="n">
        <v>20062546.875</v>
      </c>
      <c r="O138" t="inlineStr">
        <is>
          <t>literature PE</t>
        </is>
      </c>
    </row>
    <row r="139">
      <c r="A139" t="inlineStr">
        <is>
          <t>UKENNE_YW_TP000082</t>
        </is>
      </c>
      <c r="B139" t="inlineStr">
        <is>
          <t>BRADFORD ESHOLT STW</t>
        </is>
      </c>
      <c r="C139" t="n">
        <v>568071</v>
      </c>
      <c r="D139" t="n">
        <v>0</v>
      </c>
      <c r="E139" t="n">
        <v>31101887.25</v>
      </c>
      <c r="L139" t="n">
        <v>10225.278</v>
      </c>
      <c r="M139" t="n">
        <v>34084.25999999999</v>
      </c>
      <c r="N139" t="n">
        <v>25611125.990625</v>
      </c>
      <c r="O139" t="inlineStr">
        <is>
          <t>literature PE</t>
        </is>
      </c>
    </row>
    <row r="140">
      <c r="A140" t="inlineStr">
        <is>
          <t>FR0444109S0011</t>
        </is>
      </c>
      <c r="B140" t="inlineStr">
        <is>
          <t>NANTES 1-TOUGAS</t>
        </is>
      </c>
      <c r="C140" t="n">
        <v>600000</v>
      </c>
      <c r="D140" t="n">
        <v>0</v>
      </c>
      <c r="E140" t="n">
        <v>108062</v>
      </c>
      <c r="L140" t="n">
        <v>10800</v>
      </c>
      <c r="M140" t="n">
        <v>36000</v>
      </c>
      <c r="N140" t="n">
        <v>27050625</v>
      </c>
      <c r="O140" t="inlineStr">
        <is>
          <t>literature PE</t>
        </is>
      </c>
    </row>
    <row r="141">
      <c r="A141" t="inlineStr">
        <is>
          <t>ES7372740002010E</t>
        </is>
      </c>
      <c r="B141" t="inlineStr">
        <is>
          <t>SALAMANCA</t>
        </is>
      </c>
      <c r="C141" t="n">
        <v>550000</v>
      </c>
      <c r="D141" t="n">
        <v>0</v>
      </c>
      <c r="E141" t="n">
        <v>20952825</v>
      </c>
      <c r="L141" t="n">
        <v>9900</v>
      </c>
      <c r="M141" t="n">
        <v>33000</v>
      </c>
      <c r="N141" t="n">
        <v>24796406.25</v>
      </c>
      <c r="O141" t="inlineStr">
        <is>
          <t>literature PE</t>
        </is>
      </c>
    </row>
    <row r="142">
      <c r="A142" t="inlineStr">
        <is>
          <t>UKENNW_UU_TP000124</t>
        </is>
      </c>
      <c r="B142" t="inlineStr">
        <is>
          <t>NORTH WARRINGTON   STW</t>
        </is>
      </c>
      <c r="C142" t="n">
        <v>343510</v>
      </c>
      <c r="D142" t="n">
        <v>0</v>
      </c>
      <c r="E142" t="n">
        <v>18807172.5</v>
      </c>
      <c r="L142" t="n">
        <v>6183.179999999999</v>
      </c>
      <c r="M142" t="n">
        <v>20610.6</v>
      </c>
      <c r="N142" t="n">
        <v>15486933.65625</v>
      </c>
      <c r="O142" t="inlineStr">
        <is>
          <t>literature PE</t>
        </is>
      </c>
    </row>
    <row r="143">
      <c r="A143" t="inlineStr">
        <is>
          <t>UKENTH_TWU_TP000126</t>
        </is>
      </c>
      <c r="B143" t="inlineStr">
        <is>
          <t>Rye Meads STW</t>
        </is>
      </c>
      <c r="C143" t="n">
        <v>407317</v>
      </c>
      <c r="D143" t="n">
        <v>0</v>
      </c>
      <c r="E143" t="n">
        <v>22300605.75</v>
      </c>
      <c r="L143" t="n">
        <v>7331.705999999999</v>
      </c>
      <c r="M143" t="n">
        <v>24439.02</v>
      </c>
      <c r="N143" t="n">
        <v>18363632.371875</v>
      </c>
      <c r="O143" t="inlineStr">
        <is>
          <t>literature PE</t>
        </is>
      </c>
    </row>
    <row r="144">
      <c r="A144" t="inlineStr">
        <is>
          <t>IT15Q15000000004</t>
        </is>
      </c>
      <c r="B144" t="inlineStr">
        <is>
          <t>Marigliano_Na_Depuratore_Di_Nola</t>
        </is>
      </c>
      <c r="C144" t="n">
        <v>461225</v>
      </c>
      <c r="D144" t="n">
        <v>0</v>
      </c>
      <c r="E144" t="n">
        <v>30974630</v>
      </c>
      <c r="F144" t="n">
        <v>0</v>
      </c>
      <c r="G144" t="n">
        <v>0</v>
      </c>
      <c r="I144" t="n">
        <v>0</v>
      </c>
      <c r="J144" t="n">
        <v>0</v>
      </c>
      <c r="L144" t="n">
        <v>8302.049999999999</v>
      </c>
      <c r="M144" t="n">
        <v>27673.5</v>
      </c>
      <c r="N144" t="n">
        <v>20794040.859375</v>
      </c>
      <c r="O144" t="inlineStr">
        <is>
          <t>literature PE</t>
        </is>
      </c>
    </row>
    <row r="145">
      <c r="A145" t="inlineStr">
        <is>
          <t>DETP_BYN-K0002</t>
        </is>
      </c>
      <c r="B145" t="inlineStr">
        <is>
          <t>Erlangen</t>
        </is>
      </c>
      <c r="C145" t="n">
        <v>350000</v>
      </c>
      <c r="D145" t="n">
        <v>0</v>
      </c>
      <c r="E145" t="n">
        <v>17871460</v>
      </c>
      <c r="L145" t="n">
        <v>6299.999999999999</v>
      </c>
      <c r="M145" t="n">
        <v>21000</v>
      </c>
      <c r="N145" t="n">
        <v>15779531.25</v>
      </c>
      <c r="O145" t="inlineStr">
        <is>
          <t>literature PE</t>
        </is>
      </c>
    </row>
    <row r="146">
      <c r="A146" t="inlineStr">
        <is>
          <t>IT09RT0506</t>
        </is>
      </c>
      <c r="B146" t="inlineStr">
        <is>
          <t>Idi_Cuoio_Depur</t>
        </is>
      </c>
      <c r="C146" t="n">
        <v>846160</v>
      </c>
      <c r="D146" t="n">
        <v>0</v>
      </c>
      <c r="E146" t="n">
        <v>3590059</v>
      </c>
      <c r="I146" t="n">
        <v>41.92</v>
      </c>
      <c r="J146" t="n">
        <v>452.37</v>
      </c>
      <c r="K146" t="n">
        <v>49.18</v>
      </c>
      <c r="L146" t="n">
        <v>15230.88</v>
      </c>
      <c r="M146" t="n">
        <v>50769.6</v>
      </c>
      <c r="N146" t="n">
        <v>38148594.75</v>
      </c>
      <c r="O146" t="inlineStr">
        <is>
          <t>literature PE</t>
        </is>
      </c>
    </row>
    <row r="147">
      <c r="A147" t="inlineStr">
        <is>
          <t>ES1410700001010E</t>
        </is>
      </c>
      <c r="B147" t="inlineStr">
        <is>
          <t>PALOMARES</t>
        </is>
      </c>
      <c r="C147" t="n">
        <v>650000</v>
      </c>
      <c r="D147" t="n">
        <v>0</v>
      </c>
      <c r="E147" t="n">
        <v>15881028</v>
      </c>
      <c r="L147" t="n">
        <v>11700</v>
      </c>
      <c r="M147" t="n">
        <v>39000</v>
      </c>
      <c r="N147" t="n">
        <v>29304843.75</v>
      </c>
      <c r="O147" t="inlineStr">
        <is>
          <t>literature PE</t>
        </is>
      </c>
    </row>
    <row r="148">
      <c r="A148" t="inlineStr">
        <is>
          <t>DETP_ST153581000001</t>
        </is>
      </c>
      <c r="B148" t="inlineStr">
        <is>
          <t>MD-Gerwisch</t>
        </is>
      </c>
      <c r="C148" t="n">
        <v>426000</v>
      </c>
      <c r="D148" t="n">
        <v>0</v>
      </c>
      <c r="E148" t="n">
        <v>16035108</v>
      </c>
      <c r="H148" t="n">
        <v>1393.5</v>
      </c>
      <c r="K148" t="n">
        <v>129.88</v>
      </c>
      <c r="L148" t="n">
        <v>7667.999999999999</v>
      </c>
      <c r="M148" t="n">
        <v>25560</v>
      </c>
      <c r="N148" t="n">
        <v>19205943.75</v>
      </c>
      <c r="O148" t="inlineStr">
        <is>
          <t>literature PE</t>
        </is>
      </c>
    </row>
    <row r="149">
      <c r="A149" t="inlineStr">
        <is>
          <t>RO3AG_51</t>
        </is>
      </c>
      <c r="B149" t="inlineStr">
        <is>
          <t>ROWP SC APA CANAL 2000 S.A. PITESTI</t>
        </is>
      </c>
      <c r="C149" t="n">
        <v>320000</v>
      </c>
      <c r="D149" t="n">
        <v>0</v>
      </c>
      <c r="E149" t="n">
        <v>20648734</v>
      </c>
      <c r="F149" t="n">
        <v>3780.29</v>
      </c>
      <c r="G149" t="n">
        <v>7828.81</v>
      </c>
      <c r="H149" t="n">
        <v>917.62</v>
      </c>
      <c r="I149" t="n">
        <v>40.323</v>
      </c>
      <c r="J149" t="n">
        <v>370.18</v>
      </c>
      <c r="K149" t="n">
        <v>115.24</v>
      </c>
      <c r="L149" t="n">
        <v>3609.3466144</v>
      </c>
      <c r="M149" t="n">
        <v>12031.15538133334</v>
      </c>
      <c r="N149" t="n">
        <v>9040285.348255001</v>
      </c>
      <c r="O149" t="inlineStr">
        <is>
          <t>measured-based</t>
        </is>
      </c>
    </row>
    <row r="150">
      <c r="A150" t="inlineStr">
        <is>
          <t>IT06000000000098</t>
        </is>
      </c>
      <c r="B150" t="inlineStr">
        <is>
          <t>San_Giorgio_Di_Nogaro</t>
        </is>
      </c>
      <c r="C150" t="n">
        <v>698000</v>
      </c>
      <c r="D150" t="n">
        <v>0</v>
      </c>
      <c r="E150" t="n">
        <v>10824201</v>
      </c>
      <c r="L150" t="n">
        <v>12564</v>
      </c>
      <c r="M150" t="n">
        <v>41879.99999999999</v>
      </c>
      <c r="N150" t="n">
        <v>31468893.75</v>
      </c>
      <c r="O150" t="inlineStr">
        <is>
          <t>literature PE</t>
        </is>
      </c>
    </row>
    <row r="151">
      <c r="A151" t="inlineStr">
        <is>
          <t>IT12000000000311</t>
        </is>
      </c>
      <c r="B151" t="inlineStr">
        <is>
          <t>ROMA_NORD</t>
        </is>
      </c>
      <c r="C151" t="n">
        <v>780000</v>
      </c>
      <c r="D151" t="n">
        <v>0</v>
      </c>
      <c r="E151" t="n">
        <v>93747455</v>
      </c>
      <c r="L151" t="n">
        <v>14040</v>
      </c>
      <c r="M151" t="n">
        <v>46799.99999999999</v>
      </c>
      <c r="N151" t="n">
        <v>35165812.49999999</v>
      </c>
      <c r="O151" t="inlineStr">
        <is>
          <t>literature PE</t>
        </is>
      </c>
    </row>
    <row r="152">
      <c r="A152" t="inlineStr">
        <is>
          <t>DETP_ST152021000001</t>
        </is>
      </c>
      <c r="B152" t="inlineStr">
        <is>
          <t>Halle-Nord</t>
        </is>
      </c>
      <c r="C152" t="n">
        <v>340000</v>
      </c>
      <c r="D152" t="n">
        <v>0</v>
      </c>
      <c r="E152" t="n">
        <v>15455313</v>
      </c>
      <c r="H152" t="n">
        <v>1551.9</v>
      </c>
      <c r="K152" t="n">
        <v>169.54</v>
      </c>
      <c r="L152" t="n">
        <v>6119.999999999999</v>
      </c>
      <c r="M152" t="n">
        <v>20400</v>
      </c>
      <c r="N152" t="n">
        <v>15328687.5</v>
      </c>
      <c r="O152" t="inlineStr">
        <is>
          <t>literature PE</t>
        </is>
      </c>
    </row>
    <row r="153">
      <c r="A153" t="inlineStr">
        <is>
          <t>HRUWWTP_0001116_001</t>
        </is>
      </c>
      <c r="B153" t="inlineStr">
        <is>
          <t>Rijeka-Delta</t>
        </is>
      </c>
      <c r="C153" t="n">
        <v>540000</v>
      </c>
      <c r="D153" t="n">
        <v>0</v>
      </c>
      <c r="E153" t="n">
        <v>29565000</v>
      </c>
      <c r="I153" t="n">
        <v>798</v>
      </c>
      <c r="J153" t="n">
        <v>2584</v>
      </c>
      <c r="K153" t="n">
        <v>144</v>
      </c>
      <c r="L153" t="n">
        <v>9720</v>
      </c>
      <c r="M153" t="n">
        <v>32400</v>
      </c>
      <c r="N153" t="n">
        <v>24345562.5</v>
      </c>
      <c r="O153" t="inlineStr">
        <is>
          <t>literature PE</t>
        </is>
      </c>
    </row>
    <row r="154">
      <c r="A154" t="inlineStr">
        <is>
          <t>FR025435700075</t>
        </is>
      </c>
      <c r="B154" t="inlineStr">
        <is>
          <t>MAXEVILLE</t>
        </is>
      </c>
      <c r="C154" t="n">
        <v>500000</v>
      </c>
      <c r="D154" t="n">
        <v>0</v>
      </c>
      <c r="E154" t="n">
        <v>76279</v>
      </c>
      <c r="L154" t="n">
        <v>9000</v>
      </c>
      <c r="M154" t="n">
        <v>30000</v>
      </c>
      <c r="N154" t="n">
        <v>22542187.5</v>
      </c>
      <c r="O154" t="inlineStr">
        <is>
          <t>literature PE</t>
        </is>
      </c>
    </row>
    <row r="155">
      <c r="A155" t="inlineStr">
        <is>
          <t>IT15Q90000003627</t>
        </is>
      </c>
      <c r="B155" t="inlineStr">
        <is>
          <t>Salerno_Impianto_Salerno</t>
        </is>
      </c>
      <c r="C155" t="n">
        <v>700000</v>
      </c>
      <c r="D155" t="n">
        <v>0</v>
      </c>
      <c r="E155" t="n">
        <v>43800000</v>
      </c>
      <c r="F155" t="n">
        <v>0</v>
      </c>
      <c r="G155" t="n">
        <v>0</v>
      </c>
      <c r="I155" t="n">
        <v>0</v>
      </c>
      <c r="J155" t="n">
        <v>0</v>
      </c>
      <c r="L155" t="n">
        <v>12600</v>
      </c>
      <c r="M155" t="n">
        <v>41999.99999999999</v>
      </c>
      <c r="N155" t="n">
        <v>31559062.5</v>
      </c>
      <c r="O155" t="inlineStr">
        <is>
          <t>literature PE</t>
        </is>
      </c>
    </row>
    <row r="156">
      <c r="A156" t="inlineStr">
        <is>
          <t>IT12000000000304</t>
        </is>
      </c>
      <c r="B156" t="inlineStr">
        <is>
          <t>ROMA_EST</t>
        </is>
      </c>
      <c r="C156" t="n">
        <v>900000</v>
      </c>
      <c r="D156" t="n">
        <v>0</v>
      </c>
      <c r="E156" t="n">
        <v>92754145</v>
      </c>
      <c r="L156" t="n">
        <v>16200</v>
      </c>
      <c r="M156" t="n">
        <v>53999.99999999999</v>
      </c>
      <c r="N156" t="n">
        <v>40575937.49999999</v>
      </c>
      <c r="O156" t="inlineStr">
        <is>
          <t>literature PE</t>
        </is>
      </c>
    </row>
    <row r="157">
      <c r="A157" t="inlineStr">
        <is>
          <t>UKENAN_AW_TP000069</t>
        </is>
      </c>
      <c r="B157" t="inlineStr">
        <is>
          <t>MILTON KEYNES   STW</t>
        </is>
      </c>
      <c r="C157" t="n">
        <v>326101</v>
      </c>
      <c r="D157" t="n">
        <v>0</v>
      </c>
      <c r="E157" t="n">
        <v>17854029.75</v>
      </c>
      <c r="L157" t="n">
        <v>5869.817999999999</v>
      </c>
      <c r="M157" t="n">
        <v>19566.06</v>
      </c>
      <c r="N157" t="n">
        <v>14702059.771875</v>
      </c>
      <c r="O157" t="inlineStr">
        <is>
          <t>literature PE</t>
        </is>
      </c>
    </row>
    <row r="158">
      <c r="A158" t="inlineStr">
        <is>
          <t>DETP_BW1175100000062</t>
        </is>
      </c>
      <c r="B158" t="inlineStr">
        <is>
          <t>Göppingen</t>
        </is>
      </c>
      <c r="C158" t="n">
        <v>330000</v>
      </c>
      <c r="D158" t="n">
        <v>0</v>
      </c>
      <c r="E158" t="n">
        <v>14449148</v>
      </c>
      <c r="L158" t="n">
        <v>5940</v>
      </c>
      <c r="M158" t="n">
        <v>19800</v>
      </c>
      <c r="N158" t="n">
        <v>14877843.75</v>
      </c>
      <c r="O158" t="inlineStr">
        <is>
          <t>literature PE</t>
        </is>
      </c>
    </row>
    <row r="159">
      <c r="A159" t="inlineStr">
        <is>
          <t>DETP_NI253014201</t>
        </is>
      </c>
      <c r="B159" t="inlineStr">
        <is>
          <t>2530142095 KA Gümmerwald</t>
        </is>
      </c>
      <c r="C159" t="n">
        <v>750000</v>
      </c>
      <c r="D159" t="n">
        <v>0</v>
      </c>
      <c r="E159" t="n">
        <v>32838471</v>
      </c>
      <c r="L159" t="n">
        <v>13500</v>
      </c>
      <c r="M159" t="n">
        <v>44999.99999999999</v>
      </c>
      <c r="N159" t="n">
        <v>33813281.24999999</v>
      </c>
      <c r="O159" t="inlineStr">
        <is>
          <t>literature PE</t>
        </is>
      </c>
    </row>
    <row r="160">
      <c r="A160" t="inlineStr">
        <is>
          <t>SI_KCN_00098</t>
        </is>
      </c>
      <c r="B160" t="inlineStr">
        <is>
          <t>UWWTP_LJUBLJANA (ZALOG)</t>
        </is>
      </c>
      <c r="C160" t="n">
        <v>360000</v>
      </c>
      <c r="D160" t="n">
        <v>0</v>
      </c>
      <c r="E160" t="n">
        <v>24642992.2</v>
      </c>
      <c r="F160" t="n">
        <v>8154.3</v>
      </c>
      <c r="G160" t="n">
        <v>16090.6</v>
      </c>
      <c r="H160" t="n">
        <v>1063.9</v>
      </c>
      <c r="I160" t="n">
        <v>144</v>
      </c>
      <c r="J160" t="n">
        <v>869.6</v>
      </c>
      <c r="K160" t="n">
        <v>492</v>
      </c>
      <c r="L160" t="n">
        <v>7066.445549600001</v>
      </c>
      <c r="M160" t="n">
        <v>23554.81849866667</v>
      </c>
      <c r="N160" t="n">
        <v>17699237.83751375</v>
      </c>
      <c r="O160" t="inlineStr">
        <is>
          <t>measured-based</t>
        </is>
      </c>
    </row>
    <row r="161">
      <c r="A161" t="inlineStr">
        <is>
          <t>IT03160128000384</t>
        </is>
      </c>
      <c r="B161" t="inlineStr">
        <is>
          <t>Dp01209001_Lonate_Pozzolo</t>
        </is>
      </c>
      <c r="C161" t="n">
        <v>397224</v>
      </c>
      <c r="D161" t="n">
        <v>1</v>
      </c>
      <c r="E161" t="n">
        <v>29003219.38</v>
      </c>
      <c r="F161" t="n">
        <v>2723.05</v>
      </c>
      <c r="G161" t="n">
        <v>7495.48</v>
      </c>
      <c r="H161" t="n">
        <v>792.14</v>
      </c>
      <c r="I161" t="n">
        <v>628.79</v>
      </c>
      <c r="J161" t="n">
        <v>2038.94</v>
      </c>
      <c r="K161" t="n">
        <v>559.5</v>
      </c>
      <c r="L161" t="n">
        <v>3625.3767412</v>
      </c>
      <c r="M161" t="n">
        <v>12084.58913733333</v>
      </c>
      <c r="N161" t="n">
        <v>9080435.806474375</v>
      </c>
      <c r="O161" t="inlineStr">
        <is>
          <t>measured-based</t>
        </is>
      </c>
    </row>
    <row r="162">
      <c r="A162" t="inlineStr">
        <is>
          <t>FR0472181S0016</t>
        </is>
      </c>
      <c r="B162" t="inlineStr">
        <is>
          <t>LMM_LE MANS - LA CHAUVINIÈRE</t>
        </is>
      </c>
      <c r="C162" t="n">
        <v>365000</v>
      </c>
      <c r="D162" t="n">
        <v>0</v>
      </c>
      <c r="E162" t="n">
        <v>46162</v>
      </c>
      <c r="L162" t="n">
        <v>6569.999999999999</v>
      </c>
      <c r="M162" t="n">
        <v>21900</v>
      </c>
      <c r="N162" t="n">
        <v>16455796.875</v>
      </c>
      <c r="O162" t="inlineStr">
        <is>
          <t>literature PE</t>
        </is>
      </c>
    </row>
    <row r="163">
      <c r="A163" t="inlineStr">
        <is>
          <t>ES10461100001010E</t>
        </is>
      </c>
      <c r="B163" t="inlineStr">
        <is>
          <t>QUART - BENAGER</t>
        </is>
      </c>
      <c r="C163" t="n">
        <v>412500</v>
      </c>
      <c r="D163" t="n">
        <v>0</v>
      </c>
      <c r="E163" t="n">
        <v>11493269</v>
      </c>
      <c r="F163" t="n">
        <v>3356.03</v>
      </c>
      <c r="G163" t="n">
        <v>5723.64</v>
      </c>
      <c r="H163" t="n">
        <v>579.26</v>
      </c>
      <c r="I163" t="n">
        <v>91.94</v>
      </c>
      <c r="J163" t="n">
        <v>310.31</v>
      </c>
      <c r="K163" t="n">
        <v>111.48</v>
      </c>
      <c r="L163" t="n">
        <v>2864.89694328</v>
      </c>
      <c r="M163" t="n">
        <v>9549.656477600001</v>
      </c>
      <c r="N163" t="n">
        <v>7175671.562621626</v>
      </c>
      <c r="O163" t="inlineStr">
        <is>
          <t>measured-based</t>
        </is>
      </c>
    </row>
    <row r="164">
      <c r="A164" t="inlineStr">
        <is>
          <t>DETP_BW3165100000008</t>
        </is>
      </c>
      <c r="B164" t="inlineStr">
        <is>
          <t>SKA AZV BREISGAUER BUCHT - KA FORCHHEIM</t>
        </is>
      </c>
      <c r="C164" t="n">
        <v>600000</v>
      </c>
      <c r="D164" t="n">
        <v>0</v>
      </c>
      <c r="E164" t="n">
        <v>25000000</v>
      </c>
      <c r="L164" t="n">
        <v>10800</v>
      </c>
      <c r="M164" t="n">
        <v>36000</v>
      </c>
      <c r="N164" t="n">
        <v>27050625</v>
      </c>
      <c r="O164" t="inlineStr">
        <is>
          <t>literature PE</t>
        </is>
      </c>
    </row>
    <row r="165">
      <c r="A165" t="inlineStr">
        <is>
          <t>FR060969199001</t>
        </is>
      </c>
      <c r="B165" t="inlineStr">
        <is>
          <t>LYON - SAINT FONS</t>
        </is>
      </c>
      <c r="C165" t="n">
        <v>983333</v>
      </c>
      <c r="D165" t="n">
        <v>0</v>
      </c>
      <c r="E165" t="n">
        <v>188657</v>
      </c>
      <c r="L165" t="n">
        <v>17699.994</v>
      </c>
      <c r="M165" t="n">
        <v>58999.98</v>
      </c>
      <c r="N165" t="n">
        <v>44332953.721875</v>
      </c>
      <c r="O165" t="inlineStr">
        <is>
          <t>literature PE</t>
        </is>
      </c>
    </row>
    <row r="166">
      <c r="A166" t="inlineStr">
        <is>
          <t>ES8130050002010E</t>
        </is>
      </c>
      <c r="B166" t="inlineStr">
        <is>
          <t>ALCAZAR DE SAN JUAN-CAMPO DE CRIPTANA</t>
        </is>
      </c>
      <c r="C166" t="n">
        <v>322400</v>
      </c>
      <c r="D166" t="n">
        <v>0</v>
      </c>
      <c r="E166" t="n">
        <v>4615790</v>
      </c>
      <c r="L166" t="n">
        <v>5803.2</v>
      </c>
      <c r="M166" t="n">
        <v>19344</v>
      </c>
      <c r="N166" t="n">
        <v>14535202.5</v>
      </c>
      <c r="O166" t="inlineStr">
        <is>
          <t>literature PE</t>
        </is>
      </c>
    </row>
    <row r="167">
      <c r="A167" t="inlineStr">
        <is>
          <t>ES3330441901011E</t>
        </is>
      </c>
      <c r="B167" t="inlineStr">
        <is>
          <t>VILLAPEREZ</t>
        </is>
      </c>
      <c r="C167" t="n">
        <v>725767</v>
      </c>
      <c r="D167" t="n">
        <v>0</v>
      </c>
      <c r="E167" t="n">
        <v>32891662</v>
      </c>
      <c r="F167" t="n">
        <v>7331.01</v>
      </c>
      <c r="G167" t="n">
        <v>11484.89</v>
      </c>
      <c r="H167" t="n">
        <v>1149.65</v>
      </c>
      <c r="I167" t="n">
        <v>125.53</v>
      </c>
      <c r="J167" t="n">
        <v>710.25</v>
      </c>
      <c r="K167" t="n">
        <v>234.57</v>
      </c>
      <c r="L167" t="n">
        <v>6132.790187760001</v>
      </c>
      <c r="M167" t="n">
        <v>20442.6339592</v>
      </c>
      <c r="N167" t="n">
        <v>15360722.92340513</v>
      </c>
      <c r="O167" t="inlineStr">
        <is>
          <t>measured-based</t>
        </is>
      </c>
    </row>
    <row r="168">
      <c r="A168" t="inlineStr">
        <is>
          <t>ES17260890002010E</t>
        </is>
      </c>
      <c r="B168" t="inlineStr">
        <is>
          <t>LOGROÑO</t>
        </is>
      </c>
      <c r="C168" t="n">
        <v>467000</v>
      </c>
      <c r="D168" t="n">
        <v>0</v>
      </c>
      <c r="E168" t="n">
        <v>18627283</v>
      </c>
      <c r="F168" t="n">
        <v>4250.75</v>
      </c>
      <c r="G168" t="n">
        <v>7987.75</v>
      </c>
      <c r="H168" t="n">
        <v>797.8099999999999</v>
      </c>
      <c r="I168" t="n">
        <v>103.2</v>
      </c>
      <c r="J168" t="n">
        <v>545.41</v>
      </c>
      <c r="K168" t="n">
        <v>248.67</v>
      </c>
      <c r="L168" t="n">
        <v>4034.052126</v>
      </c>
      <c r="M168" t="n">
        <v>13446.84042</v>
      </c>
      <c r="N168" t="n">
        <v>10104039.93434063</v>
      </c>
      <c r="O168" t="inlineStr">
        <is>
          <t>measured-based</t>
        </is>
      </c>
    </row>
    <row r="169">
      <c r="A169" t="inlineStr">
        <is>
          <t>IETP_D0033</t>
        </is>
      </c>
      <c r="B169" t="inlineStr">
        <is>
          <t>Cork city</t>
        </is>
      </c>
      <c r="C169" t="n">
        <v>413200</v>
      </c>
      <c r="D169" t="n">
        <v>0</v>
      </c>
      <c r="E169" t="n">
        <v>46283825</v>
      </c>
      <c r="L169" t="n">
        <v>7437.599999999999</v>
      </c>
      <c r="M169" t="n">
        <v>24792</v>
      </c>
      <c r="N169" t="n">
        <v>18628863.75</v>
      </c>
      <c r="O169" t="inlineStr">
        <is>
          <t>literature PE</t>
        </is>
      </c>
    </row>
    <row r="170">
      <c r="A170" t="inlineStr">
        <is>
          <t>FR060921231001</t>
        </is>
      </c>
      <c r="B170" t="inlineStr">
        <is>
          <t>DIJON</t>
        </is>
      </c>
      <c r="C170" t="n">
        <v>400000</v>
      </c>
      <c r="D170" t="n">
        <v>0</v>
      </c>
      <c r="E170" t="n">
        <v>48332</v>
      </c>
      <c r="L170" t="n">
        <v>7199.999999999999</v>
      </c>
      <c r="M170" t="n">
        <v>24000</v>
      </c>
      <c r="N170" t="n">
        <v>18033750</v>
      </c>
      <c r="O170" t="inlineStr">
        <is>
          <t>literature PE</t>
        </is>
      </c>
    </row>
    <row r="171">
      <c r="A171" t="inlineStr">
        <is>
          <t>UKENMI_ST_TP000068</t>
        </is>
      </c>
      <c r="B171" t="inlineStr">
        <is>
          <t>COVENTRY  STW</t>
        </is>
      </c>
      <c r="C171" t="n">
        <v>484157</v>
      </c>
      <c r="D171" t="n">
        <v>0</v>
      </c>
      <c r="E171" t="n">
        <v>26507595.75</v>
      </c>
      <c r="L171" t="n">
        <v>8714.825999999999</v>
      </c>
      <c r="M171" t="n">
        <v>29049.42</v>
      </c>
      <c r="N171" t="n">
        <v>21827915.746875</v>
      </c>
      <c r="O171" t="inlineStr">
        <is>
          <t>literature PE</t>
        </is>
      </c>
    </row>
    <row r="172">
      <c r="A172" t="inlineStr">
        <is>
          <t>UKENAN_AW_TP000107</t>
        </is>
      </c>
      <c r="B172" t="inlineStr">
        <is>
          <t>NORTHAMPTON   STW</t>
        </is>
      </c>
      <c r="C172" t="n">
        <v>337357</v>
      </c>
      <c r="D172" t="n">
        <v>0</v>
      </c>
      <c r="E172" t="n">
        <v>18470295.75</v>
      </c>
      <c r="L172" t="n">
        <v>6072.425999999999</v>
      </c>
      <c r="M172" t="n">
        <v>20241.42</v>
      </c>
      <c r="N172" t="n">
        <v>15209529.496875</v>
      </c>
      <c r="O172" t="inlineStr">
        <is>
          <t>literature PE</t>
        </is>
      </c>
    </row>
    <row r="173">
      <c r="A173" t="inlineStr">
        <is>
          <t>DETP_NW608</t>
        </is>
      </c>
      <c r="B173" t="inlineStr">
        <is>
          <t>Wuppertal-Buchenhofen</t>
        </is>
      </c>
      <c r="C173" t="n">
        <v>600000</v>
      </c>
      <c r="D173" t="n">
        <v>0</v>
      </c>
      <c r="E173" t="n">
        <v>40646400</v>
      </c>
      <c r="L173" t="n">
        <v>10800</v>
      </c>
      <c r="M173" t="n">
        <v>36000</v>
      </c>
      <c r="N173" t="n">
        <v>27050625</v>
      </c>
      <c r="O173" t="inlineStr">
        <is>
          <t>literature PE</t>
        </is>
      </c>
    </row>
    <row r="174">
      <c r="A174" t="inlineStr">
        <is>
          <t>PT5000519</t>
        </is>
      </c>
      <c r="B174" t="inlineStr">
        <is>
          <t>Matosinhos</t>
        </is>
      </c>
      <c r="C174" t="n">
        <v>490890</v>
      </c>
      <c r="D174" t="n">
        <v>0</v>
      </c>
      <c r="E174" t="n">
        <v>26876227.5</v>
      </c>
      <c r="L174" t="n">
        <v>8836.019999999999</v>
      </c>
      <c r="M174" t="n">
        <v>29453.4</v>
      </c>
      <c r="N174" t="n">
        <v>22131468.84375</v>
      </c>
      <c r="O174" t="inlineStr">
        <is>
          <t>literature PE</t>
        </is>
      </c>
    </row>
    <row r="175">
      <c r="A175" t="inlineStr">
        <is>
          <t>PT20501079</t>
        </is>
      </c>
      <c r="B175" t="inlineStr">
        <is>
          <t>Rib. de Moinhos</t>
        </is>
      </c>
      <c r="C175" t="n">
        <v>360000</v>
      </c>
      <c r="D175" t="n">
        <v>0</v>
      </c>
      <c r="E175" t="n">
        <v>19710000</v>
      </c>
      <c r="L175" t="n">
        <v>6479.999999999999</v>
      </c>
      <c r="M175" t="n">
        <v>21600</v>
      </c>
      <c r="N175" t="n">
        <v>16230375</v>
      </c>
      <c r="O175" t="inlineStr">
        <is>
          <t>literature PE</t>
        </is>
      </c>
    </row>
    <row r="176">
      <c r="A176" t="inlineStr">
        <is>
          <t>ES13280790001013E</t>
        </is>
      </c>
      <c r="B176" t="inlineStr">
        <is>
          <t>BUTARQUE</t>
        </is>
      </c>
      <c r="C176" t="n">
        <v>1612800</v>
      </c>
      <c r="D176" t="n">
        <v>0</v>
      </c>
      <c r="E176" t="n">
        <v>36571956</v>
      </c>
      <c r="F176" t="n">
        <v>8630.98</v>
      </c>
      <c r="G176" t="n">
        <v>28233.55</v>
      </c>
      <c r="I176" t="n">
        <v>345.9</v>
      </c>
      <c r="J176" t="n">
        <v>1488.78</v>
      </c>
      <c r="L176" t="n">
        <v>29030.4</v>
      </c>
      <c r="M176" t="n">
        <v>96768</v>
      </c>
      <c r="N176" t="n">
        <v>72712080</v>
      </c>
      <c r="O176" t="inlineStr">
        <is>
          <t>literature PE</t>
        </is>
      </c>
    </row>
    <row r="177">
      <c r="A177" t="inlineStr">
        <is>
          <t>ES1140210009010E</t>
        </is>
      </c>
      <c r="B177" t="inlineStr">
        <is>
          <t>LA GOLONDRINA</t>
        </is>
      </c>
      <c r="C177" t="n">
        <v>783000</v>
      </c>
      <c r="D177" t="n">
        <v>0</v>
      </c>
      <c r="E177" t="n">
        <v>25838230</v>
      </c>
      <c r="L177" t="n">
        <v>14094</v>
      </c>
      <c r="M177" t="n">
        <v>46979.99999999999</v>
      </c>
      <c r="N177" t="n">
        <v>35301065.62499999</v>
      </c>
      <c r="O177" t="inlineStr">
        <is>
          <t>literature PE</t>
        </is>
      </c>
    </row>
    <row r="178">
      <c r="A178" t="inlineStr">
        <is>
          <t>FR0533039V005</t>
        </is>
      </c>
      <c r="B178" t="inlineStr">
        <is>
          <t>BEGLES (CLOS DE HILDE)</t>
        </is>
      </c>
      <c r="C178" t="n">
        <v>408333</v>
      </c>
      <c r="D178" t="n">
        <v>0</v>
      </c>
      <c r="E178" t="n">
        <v>84104</v>
      </c>
      <c r="L178" t="n">
        <v>7349.994</v>
      </c>
      <c r="M178" t="n">
        <v>24499.98</v>
      </c>
      <c r="N178" t="n">
        <v>18409438.096875</v>
      </c>
      <c r="O178" t="inlineStr">
        <is>
          <t>literature PE</t>
        </is>
      </c>
    </row>
    <row r="179">
      <c r="A179" t="inlineStr">
        <is>
          <t>PT18075792</t>
        </is>
      </c>
      <c r="B179" t="inlineStr">
        <is>
          <t>Agra I e II</t>
        </is>
      </c>
      <c r="C179" t="n">
        <v>357740</v>
      </c>
      <c r="D179" t="n">
        <v>0</v>
      </c>
      <c r="E179" t="n">
        <v>19586265</v>
      </c>
      <c r="L179" t="n">
        <v>6439.32</v>
      </c>
      <c r="M179" t="n">
        <v>21464.4</v>
      </c>
      <c r="N179" t="n">
        <v>16128484.3125</v>
      </c>
      <c r="O179" t="inlineStr">
        <is>
          <t>literature PE</t>
        </is>
      </c>
    </row>
    <row r="180">
      <c r="A180" t="inlineStr">
        <is>
          <t>DETP_BE02</t>
        </is>
      </c>
      <c r="B180" t="inlineStr">
        <is>
          <t>Schönerlinde</t>
        </is>
      </c>
      <c r="C180" t="n">
        <v>702000</v>
      </c>
      <c r="D180" t="n">
        <v>1</v>
      </c>
      <c r="E180" t="n">
        <v>41826035</v>
      </c>
      <c r="L180" t="n">
        <v>12636</v>
      </c>
      <c r="M180" t="n">
        <v>42119.99999999999</v>
      </c>
      <c r="N180" t="n">
        <v>31649231.25</v>
      </c>
      <c r="O180" t="inlineStr">
        <is>
          <t>literature PE</t>
        </is>
      </c>
    </row>
    <row r="181">
      <c r="A181" t="inlineStr">
        <is>
          <t>UKENMI_ST_TP000156</t>
        </is>
      </c>
      <c r="B181" t="inlineStr">
        <is>
          <t>BIRMINGHAM &amp; BLACK COUNTRY NO. 1 (MINWORTH) STW</t>
        </is>
      </c>
      <c r="C181" t="n">
        <v>1900000</v>
      </c>
      <c r="D181" t="n">
        <v>0</v>
      </c>
      <c r="E181" t="n">
        <v>104025000</v>
      </c>
      <c r="L181" t="n">
        <v>34200</v>
      </c>
      <c r="M181" t="n">
        <v>114000</v>
      </c>
      <c r="N181" t="n">
        <v>85660312.5</v>
      </c>
      <c r="O181" t="inlineStr">
        <is>
          <t>literature PE</t>
        </is>
      </c>
    </row>
    <row r="182">
      <c r="A182" t="inlineStr">
        <is>
          <t>EL300026013</t>
        </is>
      </c>
      <c r="B182" t="inlineStr">
        <is>
          <t>METAMORPHOSI</t>
        </is>
      </c>
      <c r="C182" t="n">
        <v>500000</v>
      </c>
      <c r="D182" t="n">
        <v>0</v>
      </c>
      <c r="E182" t="n">
        <v>8501215</v>
      </c>
      <c r="I182" t="n">
        <v>35.75</v>
      </c>
      <c r="J182" t="n">
        <v>238.07</v>
      </c>
      <c r="K182" t="n">
        <v>166.58</v>
      </c>
      <c r="L182" t="n">
        <v>9000</v>
      </c>
      <c r="M182" t="n">
        <v>30000</v>
      </c>
      <c r="N182" t="n">
        <v>22542187.5</v>
      </c>
      <c r="O182" t="inlineStr">
        <is>
          <t>literature PE</t>
        </is>
      </c>
    </row>
    <row r="183">
      <c r="A183" t="inlineStr">
        <is>
          <t>UKENNW_UU_TP000018</t>
        </is>
      </c>
      <c r="B183" t="inlineStr">
        <is>
          <t>BLACKBURN STW</t>
        </is>
      </c>
      <c r="C183" t="n">
        <v>368722</v>
      </c>
      <c r="D183" t="n">
        <v>0</v>
      </c>
      <c r="E183" t="n">
        <v>20187529.5</v>
      </c>
      <c r="L183" t="n">
        <v>6636.995999999999</v>
      </c>
      <c r="M183" t="n">
        <v>22123.32</v>
      </c>
      <c r="N183" t="n">
        <v>16623600.91875</v>
      </c>
      <c r="O183" t="inlineStr">
        <is>
          <t>literature PE</t>
        </is>
      </c>
    </row>
    <row r="184">
      <c r="A184" t="inlineStr">
        <is>
          <t>ES6390060001010E</t>
        </is>
      </c>
      <c r="B184" t="inlineStr">
        <is>
          <t>SAN PANTALEON</t>
        </is>
      </c>
      <c r="C184" t="n">
        <v>324500</v>
      </c>
      <c r="D184" t="n">
        <v>0</v>
      </c>
      <c r="E184" t="n">
        <v>5560738</v>
      </c>
      <c r="I184" t="n">
        <v>106</v>
      </c>
      <c r="J184" t="n">
        <v>394</v>
      </c>
      <c r="K184" t="n">
        <v>176</v>
      </c>
      <c r="L184" t="n">
        <v>5841</v>
      </c>
      <c r="M184" t="n">
        <v>19470</v>
      </c>
      <c r="N184" t="n">
        <v>14629879.6875</v>
      </c>
      <c r="O184" t="inlineStr">
        <is>
          <t>literature PE</t>
        </is>
      </c>
    </row>
    <row r="185">
      <c r="A185" t="inlineStr">
        <is>
          <t>ES10030650002001E</t>
        </is>
      </c>
      <c r="B185" t="inlineStr">
        <is>
          <t>ELX - ALGOROS</t>
        </is>
      </c>
      <c r="C185" t="n">
        <v>420000</v>
      </c>
      <c r="D185" t="n">
        <v>0</v>
      </c>
      <c r="E185" t="n">
        <v>8097386</v>
      </c>
      <c r="F185" t="n">
        <v>3821.96</v>
      </c>
      <c r="G185" t="n">
        <v>6817.99</v>
      </c>
      <c r="H185" t="n">
        <v>729.33</v>
      </c>
      <c r="I185" t="n">
        <v>40.48</v>
      </c>
      <c r="J185" t="n">
        <v>372.47</v>
      </c>
      <c r="K185" t="n">
        <v>216.44</v>
      </c>
      <c r="L185" t="n">
        <v>3663.73673696</v>
      </c>
      <c r="M185" t="n">
        <v>12212.45578986667</v>
      </c>
      <c r="N185" t="n">
        <v>9176515.6083545</v>
      </c>
      <c r="O185" t="inlineStr">
        <is>
          <t>measured-based</t>
        </is>
      </c>
    </row>
    <row r="186">
      <c r="A186" t="inlineStr">
        <is>
          <t>IT15Q15000000008</t>
        </is>
      </c>
      <c r="B186" t="inlineStr">
        <is>
          <t>Pozzuoli_Na_Impianto_Napoli_Ovest_Cuma</t>
        </is>
      </c>
      <c r="C186" t="n">
        <v>1200000</v>
      </c>
      <c r="D186" t="n">
        <v>0</v>
      </c>
      <c r="E186" t="n">
        <v>65700000</v>
      </c>
      <c r="F186" t="n">
        <v>0</v>
      </c>
      <c r="G186" t="n">
        <v>0</v>
      </c>
      <c r="I186" t="n">
        <v>0</v>
      </c>
      <c r="J186" t="n">
        <v>0</v>
      </c>
      <c r="L186" t="n">
        <v>21600</v>
      </c>
      <c r="M186" t="n">
        <v>72000</v>
      </c>
      <c r="N186" t="n">
        <v>54101250</v>
      </c>
      <c r="O186" t="inlineStr">
        <is>
          <t>literature PE</t>
        </is>
      </c>
    </row>
    <row r="187">
      <c r="A187" t="inlineStr">
        <is>
          <t>ES13280790001011E</t>
        </is>
      </c>
      <c r="B187" t="inlineStr">
        <is>
          <t>SUR</t>
        </is>
      </c>
      <c r="C187" t="n">
        <v>2937600</v>
      </c>
      <c r="D187" t="n">
        <v>0</v>
      </c>
      <c r="E187" t="n">
        <v>77968052</v>
      </c>
      <c r="F187" t="n">
        <v>20973.41</v>
      </c>
      <c r="G187" t="n">
        <v>46468.96</v>
      </c>
      <c r="I187" t="n">
        <v>727.7</v>
      </c>
      <c r="J187" t="n">
        <v>2956.28</v>
      </c>
      <c r="L187" t="n">
        <v>52876.8</v>
      </c>
      <c r="M187" t="n">
        <v>176256</v>
      </c>
      <c r="N187" t="n">
        <v>132439860</v>
      </c>
      <c r="O187" t="inlineStr">
        <is>
          <t>literature PE</t>
        </is>
      </c>
    </row>
    <row r="188">
      <c r="A188" t="inlineStr">
        <is>
          <t>ES13280790001019E</t>
        </is>
      </c>
      <c r="B188" t="inlineStr">
        <is>
          <t>ARROYO CULEBRO CUENCA BAJA</t>
        </is>
      </c>
      <c r="C188" t="n">
        <v>1353600</v>
      </c>
      <c r="D188" t="n">
        <v>0</v>
      </c>
      <c r="E188" t="n">
        <v>21888080</v>
      </c>
      <c r="F188" t="n">
        <v>6632.08</v>
      </c>
      <c r="G188" t="n">
        <v>13351.72</v>
      </c>
      <c r="I188" t="n">
        <v>119.97</v>
      </c>
      <c r="J188" t="n">
        <v>548.8200000000001</v>
      </c>
      <c r="L188" t="n">
        <v>24364.8</v>
      </c>
      <c r="M188" t="n">
        <v>81216</v>
      </c>
      <c r="N188" t="n">
        <v>61026210</v>
      </c>
      <c r="O188" t="inlineStr">
        <is>
          <t>literature PE</t>
        </is>
      </c>
    </row>
    <row r="189">
      <c r="A189" t="inlineStr">
        <is>
          <t>ES13280790001012E</t>
        </is>
      </c>
      <c r="B189" t="inlineStr">
        <is>
          <t>LA CHINA</t>
        </is>
      </c>
      <c r="C189" t="n">
        <v>1335000</v>
      </c>
      <c r="D189" t="n">
        <v>0</v>
      </c>
      <c r="E189" t="n">
        <v>30591175</v>
      </c>
      <c r="F189" t="n">
        <v>10859.86</v>
      </c>
      <c r="G189" t="n">
        <v>22423.33</v>
      </c>
      <c r="I189" t="n">
        <v>80.3</v>
      </c>
      <c r="J189" t="n">
        <v>576.13</v>
      </c>
      <c r="L189" t="n">
        <v>24030</v>
      </c>
      <c r="M189" t="n">
        <v>80100</v>
      </c>
      <c r="N189" t="n">
        <v>60187640.625</v>
      </c>
      <c r="O189" t="inlineStr">
        <is>
          <t>literature PE</t>
        </is>
      </c>
    </row>
    <row r="190">
      <c r="A190" t="inlineStr">
        <is>
          <t>ES14300161912010E</t>
        </is>
      </c>
      <c r="B190" t="inlineStr">
        <is>
          <t>MAR MENOR SUR</t>
        </is>
      </c>
      <c r="C190" t="n">
        <v>541667</v>
      </c>
      <c r="D190" t="n">
        <v>0</v>
      </c>
      <c r="E190" t="n">
        <v>3835182</v>
      </c>
      <c r="F190" t="n">
        <v>1039.97</v>
      </c>
      <c r="G190" t="n">
        <v>2335.31</v>
      </c>
      <c r="H190" t="n">
        <v>199.01</v>
      </c>
      <c r="I190" t="n">
        <v>8.949999999999999</v>
      </c>
      <c r="J190" t="n">
        <v>94.59999999999999</v>
      </c>
      <c r="K190" t="n">
        <v>67.91</v>
      </c>
      <c r="L190" t="n">
        <v>1025.06752952</v>
      </c>
      <c r="M190" t="n">
        <v>3416.891765066667</v>
      </c>
      <c r="N190" t="n">
        <v>2567473.827844625</v>
      </c>
      <c r="O190" t="inlineStr">
        <is>
          <t>measured-based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3"/>
  <sheetViews>
    <sheetView workbookViewId="0">
      <selection activeCell="A1" sqref="A1"/>
    </sheetView>
  </sheetViews>
  <sheetFormatPr baseColWidth="8" defaultRowHeight="15"/>
  <cols>
    <col width="29" customWidth="1" min="1" max="1"/>
    <col width="67" customWidth="1" min="2" max="2"/>
    <col width="29" customWidth="1" min="3" max="3"/>
    <col width="26" customWidth="1" min="4" max="4"/>
    <col width="29" customWidth="1" min="5" max="5"/>
    <col width="24" customWidth="1" min="6" max="6"/>
    <col width="19" customWidth="1" min="7" max="7"/>
    <col width="29" customWidth="1" min="8" max="8"/>
    <col width="18" customWidth="1" min="9" max="9"/>
    <col width="31" customWidth="1" min="10" max="10"/>
  </cols>
  <sheetData>
    <row r="1">
      <c r="A1" s="1" t="inlineStr">
        <is>
          <t>UWWTD Code</t>
        </is>
      </c>
      <c r="B1" s="1" t="inlineStr">
        <is>
          <t>Name</t>
        </is>
      </c>
      <c r="C1" s="1" t="inlineStr">
        <is>
          <t>Direct Distance to EHB [km]</t>
        </is>
      </c>
      <c r="D1" s="1" t="inlineStr">
        <is>
          <t>LeastCostLine (EHB) [km]</t>
        </is>
      </c>
      <c r="E1" s="1" t="inlineStr">
        <is>
          <t>Crosses sensible zone (EHB)</t>
        </is>
      </c>
      <c r="F1" s="1" t="inlineStr">
        <is>
          <t>Built Scenario 1 (EHB)</t>
        </is>
      </c>
      <c r="G1" s="1" t="inlineStr">
        <is>
          <t>Price (EHB)</t>
        </is>
      </c>
      <c r="H1" s="1" t="inlineStr">
        <is>
          <t>Cost density (EHB) [per km]</t>
        </is>
      </c>
      <c r="I1" s="1" t="inlineStr">
        <is>
          <t>Industry in 10km</t>
        </is>
      </c>
      <c r="J1" s="1" t="inlineStr">
        <is>
          <t>Industry along Pipeline (EHB)</t>
        </is>
      </c>
    </row>
    <row r="2">
      <c r="A2" t="inlineStr">
        <is>
          <t>DETP_HH4/4 AI 3</t>
        </is>
      </c>
      <c r="B2" t="inlineStr">
        <is>
          <t>Klärwerksverbund Köhlbrandhöft Dradenau</t>
        </is>
      </c>
      <c r="C2" t="n">
        <v>0.342</v>
      </c>
      <c r="D2" t="n">
        <v>0.0565685424949238</v>
      </c>
      <c r="E2" t="n">
        <v>0</v>
      </c>
      <c r="F2" t="n">
        <v>1</v>
      </c>
      <c r="G2" t="n">
        <v>7.071067727571778</v>
      </c>
      <c r="H2" t="n">
        <v>124.9999985098839</v>
      </c>
      <c r="I2" t="n">
        <v>1</v>
      </c>
      <c r="J2" t="n">
        <v>0</v>
      </c>
    </row>
    <row r="3">
      <c r="A3" t="inlineStr">
        <is>
          <t>NL25017</t>
        </is>
      </c>
      <c r="B3" t="inlineStr">
        <is>
          <t>UWWTP NIEUWVEER</t>
        </is>
      </c>
      <c r="C3" t="n">
        <v>5.172</v>
      </c>
      <c r="D3" t="n">
        <v>5.410264786586912</v>
      </c>
      <c r="E3" t="n">
        <v>1</v>
      </c>
      <c r="F3" t="n">
        <v>1</v>
      </c>
      <c r="G3" t="n">
        <v>766.5472939388663</v>
      </c>
      <c r="H3" t="n">
        <v>141.6838776244898</v>
      </c>
      <c r="I3" t="n">
        <v>1</v>
      </c>
      <c r="J3" t="n">
        <v>0</v>
      </c>
    </row>
    <row r="4">
      <c r="A4" t="inlineStr">
        <is>
          <t>ATTP_4-41003001</t>
        </is>
      </c>
      <c r="B4" t="inlineStr">
        <is>
          <t>Asten - Regionalkläranlage</t>
        </is>
      </c>
      <c r="C4" t="n">
        <v>1.287</v>
      </c>
      <c r="D4" t="n">
        <v>1.473969696196701</v>
      </c>
      <c r="E4" t="n">
        <v>0</v>
      </c>
      <c r="F4" t="n">
        <v>1</v>
      </c>
      <c r="G4" t="n">
        <v>187.1734197559547</v>
      </c>
      <c r="H4" t="n">
        <v>126.9859348119029</v>
      </c>
      <c r="I4" t="n">
        <v>1</v>
      </c>
      <c r="J4" t="n">
        <v>0</v>
      </c>
    </row>
    <row r="5">
      <c r="A5" t="inlineStr">
        <is>
          <t>ATTP_9-HKA-Simmering</t>
        </is>
      </c>
      <c r="B5" t="inlineStr">
        <is>
          <t>Hauptkläranlage Wien</t>
        </is>
      </c>
      <c r="C5" t="n">
        <v>0.893</v>
      </c>
      <c r="D5" t="n">
        <v>0.48698484809835</v>
      </c>
      <c r="E5" t="n">
        <v>0</v>
      </c>
      <c r="F5" t="n">
        <v>1</v>
      </c>
      <c r="G5" t="n">
        <v>136.1510891536409</v>
      </c>
      <c r="H5" t="n">
        <v>279.579723445819</v>
      </c>
      <c r="I5" t="n">
        <v>0</v>
      </c>
      <c r="J5" t="n">
        <v>0</v>
      </c>
    </row>
    <row r="6">
      <c r="A6" t="inlineStr">
        <is>
          <t>PLMP0011</t>
        </is>
      </c>
      <c r="B6" t="inlineStr">
        <is>
          <t>Kraków-Płaszów</t>
        </is>
      </c>
      <c r="C6" t="n">
        <v>13.887</v>
      </c>
      <c r="D6" t="n">
        <v>16.53361615182493</v>
      </c>
      <c r="E6" t="n">
        <v>0</v>
      </c>
      <c r="F6" t="n">
        <v>1</v>
      </c>
      <c r="G6" t="n">
        <v>2138.153947381477</v>
      </c>
      <c r="H6" t="n">
        <v>129.3216152925792</v>
      </c>
      <c r="I6" t="n">
        <v>1</v>
      </c>
      <c r="J6" t="n">
        <v>0</v>
      </c>
    </row>
    <row r="7">
      <c r="A7" t="inlineStr">
        <is>
          <t>DETP_NW1805</t>
        </is>
      </c>
      <c r="B7" t="inlineStr">
        <is>
          <t>Köln Stammheim</t>
        </is>
      </c>
      <c r="C7" t="n">
        <v>0.949</v>
      </c>
      <c r="D7" t="n">
        <v>1.116690475583122</v>
      </c>
      <c r="E7" t="n">
        <v>1</v>
      </c>
      <c r="F7" t="n">
        <v>1</v>
      </c>
      <c r="G7" t="n">
        <v>233.1155510192875</v>
      </c>
      <c r="H7" t="n">
        <v>208.7557439742266</v>
      </c>
      <c r="I7" t="n">
        <v>1</v>
      </c>
      <c r="J7" t="n">
        <v>0</v>
      </c>
    </row>
    <row r="8">
      <c r="A8" t="inlineStr">
        <is>
          <t>RO8IF_53</t>
        </is>
      </c>
      <c r="B8" t="inlineStr">
        <is>
          <t>ROWP SC APA NOVA SA BUCURESTI</t>
        </is>
      </c>
      <c r="C8" t="n">
        <v>7.392</v>
      </c>
      <c r="D8" t="n">
        <v>7.54546247918336</v>
      </c>
      <c r="E8" t="n">
        <v>0</v>
      </c>
      <c r="F8" t="n">
        <v>1</v>
      </c>
      <c r="G8" t="n">
        <v>802.2954902398094</v>
      </c>
      <c r="H8" t="n">
        <v>106.3282061839424</v>
      </c>
      <c r="I8" t="n">
        <v>0</v>
      </c>
      <c r="J8" t="n">
        <v>0</v>
      </c>
    </row>
    <row r="9">
      <c r="A9" t="inlineStr">
        <is>
          <t>PLSL0090</t>
        </is>
      </c>
      <c r="B9" t="inlineStr">
        <is>
          <t>Centralna Oczyszczalnia Ścieków w Gliwicach</t>
        </is>
      </c>
      <c r="C9" t="n">
        <v>11.353</v>
      </c>
      <c r="D9" t="n">
        <v>12.03356564548611</v>
      </c>
      <c r="E9" t="n">
        <v>0</v>
      </c>
      <c r="F9" t="n">
        <v>1</v>
      </c>
      <c r="G9" t="n">
        <v>1392.066229471784</v>
      </c>
      <c r="H9" t="n">
        <v>115.6819408712795</v>
      </c>
      <c r="I9" t="n">
        <v>1</v>
      </c>
      <c r="J9" t="n">
        <v>0</v>
      </c>
    </row>
    <row r="10">
      <c r="A10" t="inlineStr">
        <is>
          <t>ES2502970002010E</t>
        </is>
      </c>
      <c r="B10" t="inlineStr">
        <is>
          <t>ZARAGOZA (LA CARTUJA)</t>
        </is>
      </c>
      <c r="C10" t="n">
        <v>0.416</v>
      </c>
      <c r="D10" t="n">
        <v>0.2538477631085024</v>
      </c>
      <c r="E10" t="n">
        <v>0</v>
      </c>
      <c r="F10" t="n">
        <v>1</v>
      </c>
      <c r="G10" t="n">
        <v>29.62741699796953</v>
      </c>
      <c r="H10" t="n">
        <v>116.7133270554204</v>
      </c>
      <c r="I10" t="n">
        <v>1</v>
      </c>
      <c r="J10" t="n">
        <v>0</v>
      </c>
    </row>
    <row r="11">
      <c r="A11" t="inlineStr">
        <is>
          <t>PLMZ0011</t>
        </is>
      </c>
      <c r="B11" t="inlineStr">
        <is>
          <t>Zakład Oczyszczalni Ścieków "Czajka"</t>
        </is>
      </c>
      <c r="C11" t="n">
        <v>31.882</v>
      </c>
      <c r="D11" t="n">
        <v>36.53609665440963</v>
      </c>
      <c r="E11" t="n">
        <v>1</v>
      </c>
      <c r="F11" t="n">
        <v>1</v>
      </c>
      <c r="G11" t="n">
        <v>5757.981442895813</v>
      </c>
      <c r="H11" t="n">
        <v>157.597060719426</v>
      </c>
      <c r="I11" t="n">
        <v>1</v>
      </c>
      <c r="J11" t="n">
        <v>0</v>
      </c>
    </row>
    <row r="12">
      <c r="A12" t="inlineStr">
        <is>
          <t>DETP_NW2102</t>
        </is>
      </c>
      <c r="B12" t="inlineStr">
        <is>
          <t>Krefeld</t>
        </is>
      </c>
      <c r="C12" t="n">
        <v>0.182</v>
      </c>
      <c r="D12" t="n">
        <v>0.05414213562373095</v>
      </c>
      <c r="E12" t="n">
        <v>1</v>
      </c>
      <c r="F12" t="n">
        <v>1</v>
      </c>
      <c r="G12" t="n">
        <v>9.745584154101751</v>
      </c>
      <c r="H12" t="n">
        <v>179.9999952316284</v>
      </c>
      <c r="I12" t="n">
        <v>3</v>
      </c>
      <c r="J12" t="n">
        <v>0</v>
      </c>
    </row>
    <row r="13">
      <c r="A13" t="inlineStr">
        <is>
          <t>NL32002</t>
        </is>
      </c>
      <c r="B13" t="inlineStr">
        <is>
          <t>UWWTP TILBURG-NOORD</t>
        </is>
      </c>
      <c r="C13" t="n">
        <v>0.124</v>
      </c>
      <c r="D13" t="n">
        <v>0.04</v>
      </c>
      <c r="E13" t="n">
        <v>0</v>
      </c>
      <c r="F13" t="n">
        <v>1</v>
      </c>
      <c r="G13" t="n">
        <v>4</v>
      </c>
      <c r="H13" t="n">
        <v>100</v>
      </c>
      <c r="I13" t="n">
        <v>1</v>
      </c>
      <c r="J13" t="n">
        <v>0</v>
      </c>
    </row>
    <row r="14">
      <c r="A14" t="inlineStr">
        <is>
          <t>DETP_BW2225100000001</t>
        </is>
      </c>
      <c r="B14" t="inlineStr">
        <is>
          <t>Kläranlage Mannheim</t>
        </is>
      </c>
      <c r="C14" t="n">
        <v>2.13</v>
      </c>
      <c r="D14" t="n">
        <v>1.843553390593276</v>
      </c>
      <c r="E14" t="n">
        <v>1</v>
      </c>
      <c r="F14" t="n">
        <v>1</v>
      </c>
      <c r="G14" t="n">
        <v>323.1383861663389</v>
      </c>
      <c r="H14" t="n">
        <v>175.28018869166</v>
      </c>
      <c r="I14" t="n">
        <v>3</v>
      </c>
      <c r="J14" t="n">
        <v>0</v>
      </c>
    </row>
    <row r="15">
      <c r="A15" t="inlineStr">
        <is>
          <t>ES9081690001010E</t>
        </is>
      </c>
      <c r="B15" t="inlineStr">
        <is>
          <t>PRAT DE LLOBREGAT (EL)</t>
        </is>
      </c>
      <c r="C15" t="n">
        <v>1.059</v>
      </c>
      <c r="D15" t="n">
        <v>1.45681240867132</v>
      </c>
      <c r="E15" t="n">
        <v>0</v>
      </c>
      <c r="F15" t="n">
        <v>1</v>
      </c>
      <c r="G15" t="n">
        <v>172.9949493661166</v>
      </c>
      <c r="H15" t="n">
        <v>118.748953768108</v>
      </c>
      <c r="I15" t="n">
        <v>1</v>
      </c>
      <c r="J15" t="n">
        <v>0</v>
      </c>
    </row>
    <row r="16">
      <c r="A16" t="inlineStr">
        <is>
          <t>ES16010590063010E</t>
        </is>
      </c>
      <c r="B16" t="inlineStr">
        <is>
          <t>Crispijana</t>
        </is>
      </c>
      <c r="C16" t="n">
        <v>2.344</v>
      </c>
      <c r="D16" t="n">
        <v>2.546345596729068</v>
      </c>
      <c r="E16" t="n">
        <v>1</v>
      </c>
      <c r="F16" t="n">
        <v>1</v>
      </c>
      <c r="G16" t="n">
        <v>286.347763108503</v>
      </c>
      <c r="H16" t="n">
        <v>112.4543987573147</v>
      </c>
      <c r="I16" t="n">
        <v>2</v>
      </c>
      <c r="J16" t="n">
        <v>0</v>
      </c>
    </row>
    <row r="17">
      <c r="A17" t="inlineStr">
        <is>
          <t>DETP_BE03</t>
        </is>
      </c>
      <c r="B17" t="inlineStr">
        <is>
          <t>Waßmannsdorf</t>
        </is>
      </c>
      <c r="C17" t="n">
        <v>10.986</v>
      </c>
      <c r="D17" t="n">
        <v>11.18690475583122</v>
      </c>
      <c r="E17" t="n">
        <v>1</v>
      </c>
      <c r="F17" t="n">
        <v>1</v>
      </c>
      <c r="G17" t="n">
        <v>1481.69416161214</v>
      </c>
      <c r="H17" t="n">
        <v>132.4489833382912</v>
      </c>
      <c r="I17" t="n">
        <v>0</v>
      </c>
      <c r="J17" t="n">
        <v>0</v>
      </c>
    </row>
    <row r="18">
      <c r="A18" t="inlineStr">
        <is>
          <t>DETP_MV03.03.1 wbu1437</t>
        </is>
      </c>
      <c r="B18" t="inlineStr">
        <is>
          <t>Rostock - Bramow</t>
        </is>
      </c>
      <c r="C18" t="n">
        <v>3.403</v>
      </c>
      <c r="D18" t="n">
        <v>4.385290039756349</v>
      </c>
      <c r="E18" t="n">
        <v>0</v>
      </c>
      <c r="F18" t="n">
        <v>1</v>
      </c>
      <c r="G18" t="n">
        <v>1045.284067405797</v>
      </c>
      <c r="H18" t="n">
        <v>238.3614442669507</v>
      </c>
      <c r="I18" t="n">
        <v>0</v>
      </c>
      <c r="J18" t="n">
        <v>0</v>
      </c>
    </row>
    <row r="19">
      <c r="A19" t="inlineStr">
        <is>
          <t>CZ8119-713767-00845451-4/1U</t>
        </is>
      </c>
      <c r="B19" t="inlineStr">
        <is>
          <t>UCOV Ostrava - Privoz</t>
        </is>
      </c>
      <c r="C19" t="n">
        <v>9.961</v>
      </c>
      <c r="D19" t="n">
        <v>11.06645886429951</v>
      </c>
      <c r="E19" t="n">
        <v>0</v>
      </c>
      <c r="F19" t="n">
        <v>1</v>
      </c>
      <c r="G19" t="n">
        <v>1269.041843495334</v>
      </c>
      <c r="H19" t="n">
        <v>114.6746090196272</v>
      </c>
      <c r="I19" t="n">
        <v>6</v>
      </c>
      <c r="J19" t="n">
        <v>0</v>
      </c>
    </row>
    <row r="20">
      <c r="A20" t="inlineStr">
        <is>
          <t>BGWT56784_00_01</t>
        </is>
      </c>
      <c r="B20" t="inlineStr">
        <is>
          <t>UWWTP Plovdiv</t>
        </is>
      </c>
      <c r="C20" t="n">
        <v>11.431</v>
      </c>
      <c r="D20" t="n">
        <v>11.4843354954613</v>
      </c>
      <c r="E20" t="n">
        <v>1</v>
      </c>
      <c r="F20" t="n">
        <v>1</v>
      </c>
      <c r="G20" t="n">
        <v>1289.239855108667</v>
      </c>
      <c r="H20" t="n">
        <v>112.2607272852822</v>
      </c>
      <c r="I20" t="n">
        <v>2</v>
      </c>
      <c r="J20" t="n">
        <v>0</v>
      </c>
    </row>
    <row r="21">
      <c r="A21" t="inlineStr">
        <is>
          <t>DETP_HB18-1</t>
        </is>
      </c>
      <c r="B21" t="inlineStr">
        <is>
          <t>Kläranlage Seehausen</t>
        </is>
      </c>
      <c r="C21" t="n">
        <v>4.648</v>
      </c>
      <c r="D21" t="n">
        <v>6.054112549695403</v>
      </c>
      <c r="E21" t="n">
        <v>0</v>
      </c>
      <c r="F21" t="n">
        <v>1</v>
      </c>
      <c r="G21" t="n">
        <v>853.3929108388671</v>
      </c>
      <c r="H21" t="n">
        <v>140.9608598838823</v>
      </c>
      <c r="I21" t="n">
        <v>1</v>
      </c>
      <c r="J21" t="n">
        <v>0</v>
      </c>
    </row>
    <row r="22">
      <c r="A22" t="inlineStr">
        <is>
          <t>DETP_ST151541000001</t>
        </is>
      </c>
      <c r="B22" t="inlineStr">
        <is>
          <t>Bitterfeld-Wolfen</t>
        </is>
      </c>
      <c r="C22" t="n">
        <v>4.88</v>
      </c>
      <c r="D22" t="n">
        <v>5.353107499061526</v>
      </c>
      <c r="E22" t="n">
        <v>0</v>
      </c>
      <c r="F22" t="n">
        <v>1</v>
      </c>
      <c r="G22" t="n">
        <v>627.8849696844309</v>
      </c>
      <c r="H22" t="n">
        <v>117.2935476813249</v>
      </c>
      <c r="I22" t="n">
        <v>2</v>
      </c>
      <c r="J22" t="n">
        <v>0</v>
      </c>
    </row>
    <row r="23">
      <c r="A23" t="inlineStr">
        <is>
          <t>DETP_NW904</t>
        </is>
      </c>
      <c r="B23" t="inlineStr">
        <is>
          <t>Duisburg-Kaßlerfeld</t>
        </is>
      </c>
      <c r="C23" t="n">
        <v>1.047</v>
      </c>
      <c r="D23" t="n">
        <v>1.113969696196701</v>
      </c>
      <c r="E23" t="n">
        <v>1</v>
      </c>
      <c r="F23" t="n">
        <v>1</v>
      </c>
      <c r="G23" t="n">
        <v>211.5569751263066</v>
      </c>
      <c r="H23" t="n">
        <v>189.9126842037098</v>
      </c>
      <c r="I23" t="n">
        <v>5</v>
      </c>
      <c r="J23" t="n">
        <v>0</v>
      </c>
    </row>
    <row r="24">
      <c r="A24" t="inlineStr">
        <is>
          <t>PLWL0011</t>
        </is>
      </c>
      <c r="B24" t="inlineStr">
        <is>
          <t>Centralna Oczyszczalnia Ścieków w Koziegłowach</t>
        </is>
      </c>
      <c r="C24" t="n">
        <v>21.605</v>
      </c>
      <c r="D24" t="n">
        <v>24.70370849898439</v>
      </c>
      <c r="E24" t="n">
        <v>0</v>
      </c>
      <c r="F24" t="n">
        <v>1</v>
      </c>
      <c r="G24" t="n">
        <v>2894.304896934024</v>
      </c>
      <c r="H24" t="n">
        <v>117.1607451995725</v>
      </c>
      <c r="I24" t="n">
        <v>0</v>
      </c>
      <c r="J24" t="n">
        <v>0</v>
      </c>
    </row>
    <row r="25">
      <c r="A25" t="inlineStr">
        <is>
          <t>RO2GL_51</t>
        </is>
      </c>
      <c r="B25" t="inlineStr">
        <is>
          <t>ROWP GALATI</t>
        </is>
      </c>
      <c r="C25" t="n">
        <v>0.746</v>
      </c>
      <c r="D25" t="n">
        <v>0.7097056274847714</v>
      </c>
      <c r="E25" t="n">
        <v>0</v>
      </c>
      <c r="F25" t="n">
        <v>1</v>
      </c>
      <c r="G25" t="n">
        <v>94.97888875530259</v>
      </c>
      <c r="H25" t="n">
        <v>133.8285693068435</v>
      </c>
      <c r="I25" t="n">
        <v>1</v>
      </c>
      <c r="J25" t="n">
        <v>0</v>
      </c>
    </row>
    <row r="26">
      <c r="A26" t="inlineStr">
        <is>
          <t>DETP_BW2125100000014</t>
        </is>
      </c>
      <c r="B26" t="inlineStr">
        <is>
          <t>SKA Karlsruhe Neureut</t>
        </is>
      </c>
      <c r="C26" t="n">
        <v>0.364</v>
      </c>
      <c r="D26" t="n">
        <v>0.2138477631085024</v>
      </c>
      <c r="E26" t="n">
        <v>0</v>
      </c>
      <c r="F26" t="n">
        <v>1</v>
      </c>
      <c r="G26" t="n">
        <v>29.93868632533754</v>
      </c>
      <c r="H26" t="n">
        <v>139.9999976158142</v>
      </c>
      <c r="I26" t="n">
        <v>0</v>
      </c>
      <c r="J26" t="n">
        <v>0</v>
      </c>
    </row>
    <row r="27">
      <c r="A27" t="inlineStr">
        <is>
          <t>ATTP_6-M3631054R0</t>
        </is>
      </c>
      <c r="B27" t="inlineStr">
        <is>
          <t>Gratkorn</t>
        </is>
      </c>
      <c r="C27" t="n">
        <v>4.189</v>
      </c>
      <c r="D27" t="n">
        <v>4.568477631085034</v>
      </c>
      <c r="E27" t="n">
        <v>0</v>
      </c>
      <c r="F27" t="n">
        <v>1</v>
      </c>
      <c r="G27" t="n">
        <v>575.3996517028805</v>
      </c>
      <c r="H27" t="n">
        <v>125.9499768123458</v>
      </c>
      <c r="I27" t="n">
        <v>2</v>
      </c>
      <c r="J27" t="n">
        <v>0</v>
      </c>
    </row>
    <row r="28">
      <c r="A28" t="inlineStr">
        <is>
          <t>IT05000000000043</t>
        </is>
      </c>
      <c r="B28" t="inlineStr">
        <is>
          <t>Arzignano_Via_Altura</t>
        </is>
      </c>
      <c r="C28" t="n">
        <v>27.481</v>
      </c>
      <c r="D28" t="n">
        <v>34.38354831444978</v>
      </c>
      <c r="E28" t="n">
        <v>1</v>
      </c>
      <c r="F28" t="n">
        <v>1</v>
      </c>
      <c r="G28" t="n">
        <v>3943.423528214666</v>
      </c>
      <c r="H28" t="n">
        <v>114.6892546444205</v>
      </c>
      <c r="I28" t="n">
        <v>3</v>
      </c>
      <c r="J28" t="n">
        <v>0</v>
      </c>
    </row>
    <row r="29">
      <c r="A29" t="inlineStr">
        <is>
          <t>DETP_NW906</t>
        </is>
      </c>
      <c r="B29" t="inlineStr">
        <is>
          <t>Duisburg-Alte Emscher</t>
        </is>
      </c>
      <c r="C29" t="n">
        <v>4.402</v>
      </c>
      <c r="D29" t="n">
        <v>5.50399061660722</v>
      </c>
      <c r="E29" t="n">
        <v>1</v>
      </c>
      <c r="F29" t="n">
        <v>1</v>
      </c>
      <c r="G29" t="n">
        <v>861.394927597104</v>
      </c>
      <c r="H29" t="n">
        <v>156.5037056927409</v>
      </c>
      <c r="I29" t="n">
        <v>3</v>
      </c>
      <c r="J29" t="n">
        <v>0</v>
      </c>
    </row>
    <row r="30">
      <c r="A30" t="inlineStr">
        <is>
          <t>DETP_HE064140000101</t>
        </is>
      </c>
      <c r="B30" t="inlineStr">
        <is>
          <t>Wiesbaden / Mitte</t>
        </is>
      </c>
      <c r="C30" t="n">
        <v>3.068</v>
      </c>
      <c r="D30" t="n">
        <v>2.637939392393407</v>
      </c>
      <c r="E30" t="n">
        <v>0</v>
      </c>
      <c r="F30" t="n">
        <v>1</v>
      </c>
      <c r="G30" t="n">
        <v>350.7877543551974</v>
      </c>
      <c r="H30" t="n">
        <v>132.9779430743202</v>
      </c>
      <c r="I30" t="n">
        <v>1</v>
      </c>
      <c r="J30" t="n">
        <v>0</v>
      </c>
    </row>
    <row r="31">
      <c r="A31" t="inlineStr">
        <is>
          <t>DETP_NW905</t>
        </is>
      </c>
      <c r="B31" t="inlineStr">
        <is>
          <t>Emscherkläranlage</t>
        </is>
      </c>
      <c r="C31" t="n">
        <v>5.013</v>
      </c>
      <c r="D31" t="n">
        <v>4.508893936688455</v>
      </c>
      <c r="E31" t="n">
        <v>0</v>
      </c>
      <c r="F31" t="n">
        <v>1</v>
      </c>
      <c r="G31" t="n">
        <v>514.5322434667484</v>
      </c>
      <c r="H31" t="n">
        <v>114.1149582783589</v>
      </c>
      <c r="I31" t="n">
        <v>2</v>
      </c>
      <c r="J31" t="n">
        <v>0</v>
      </c>
    </row>
    <row r="32">
      <c r="A32" t="inlineStr">
        <is>
          <t>ATTP_6-M3489301R0</t>
        </is>
      </c>
      <c r="B32" t="inlineStr">
        <is>
          <t>Graz-Gössendorf</t>
        </is>
      </c>
      <c r="C32" t="n">
        <v>8.029999999999999</v>
      </c>
      <c r="D32" t="n">
        <v>8.670113267570386</v>
      </c>
      <c r="E32" t="n">
        <v>1</v>
      </c>
      <c r="F32" t="n">
        <v>1</v>
      </c>
      <c r="G32" t="n">
        <v>1234.590071954658</v>
      </c>
      <c r="H32" t="n">
        <v>142.3960718682312</v>
      </c>
      <c r="I32" t="n">
        <v>1</v>
      </c>
      <c r="J32" t="n">
        <v>0</v>
      </c>
    </row>
    <row r="33">
      <c r="A33" t="inlineStr">
        <is>
          <t>DETP_BYM-K0001</t>
        </is>
      </c>
      <c r="B33" t="inlineStr">
        <is>
          <t>München II - Gut Marienhof</t>
        </is>
      </c>
      <c r="C33" t="n">
        <v>1.301</v>
      </c>
      <c r="D33" t="n">
        <v>2.169411254969544</v>
      </c>
      <c r="E33" t="n">
        <v>1</v>
      </c>
      <c r="F33" t="n">
        <v>1</v>
      </c>
      <c r="G33" t="n">
        <v>626.726523784268</v>
      </c>
      <c r="H33" t="n">
        <v>288.8924459798041</v>
      </c>
      <c r="I33" t="n">
        <v>0</v>
      </c>
      <c r="J33" t="n">
        <v>0</v>
      </c>
    </row>
    <row r="34">
      <c r="A34" t="inlineStr">
        <is>
          <t>IT03160128000457</t>
        </is>
      </c>
      <c r="B34" t="inlineStr">
        <is>
          <t>Dp01514602_Milano_S_Rocco</t>
        </is>
      </c>
      <c r="C34" t="n">
        <v>18.386</v>
      </c>
      <c r="D34" t="n">
        <v>20.06739248818395</v>
      </c>
      <c r="E34" t="n">
        <v>0</v>
      </c>
      <c r="F34" t="n">
        <v>1</v>
      </c>
      <c r="G34" t="n">
        <v>2187.80627435293</v>
      </c>
      <c r="H34" t="n">
        <v>109.02294733315</v>
      </c>
      <c r="I34" t="n">
        <v>2</v>
      </c>
      <c r="J34" t="n">
        <v>0</v>
      </c>
    </row>
    <row r="35">
      <c r="A35" t="inlineStr">
        <is>
          <t>ES16200690005010E</t>
        </is>
      </c>
      <c r="B35" t="inlineStr">
        <is>
          <t>Loiola</t>
        </is>
      </c>
      <c r="C35" t="n">
        <v>4.392</v>
      </c>
      <c r="D35" t="n">
        <v>5.087005768508886</v>
      </c>
      <c r="E35" t="n">
        <v>0</v>
      </c>
      <c r="F35" t="n">
        <v>1</v>
      </c>
      <c r="G35" t="n">
        <v>660.2882080703463</v>
      </c>
      <c r="H35" t="n">
        <v>129.7989894483433</v>
      </c>
      <c r="I35" t="n">
        <v>2</v>
      </c>
      <c r="J35" t="n">
        <v>0</v>
      </c>
    </row>
    <row r="36">
      <c r="A36" t="inlineStr">
        <is>
          <t>PLMP0016</t>
        </is>
      </c>
      <c r="B36" t="inlineStr">
        <is>
          <t>Kraków-Kujawy</t>
        </is>
      </c>
      <c r="C36" t="n">
        <v>10.293</v>
      </c>
      <c r="D36" t="n">
        <v>11.12381817718022</v>
      </c>
      <c r="E36" t="n">
        <v>0</v>
      </c>
      <c r="F36" t="n">
        <v>1</v>
      </c>
      <c r="G36" t="n">
        <v>1266.092493275431</v>
      </c>
      <c r="H36" t="n">
        <v>113.8181578581297</v>
      </c>
      <c r="I36" t="n">
        <v>1</v>
      </c>
      <c r="J36" t="n">
        <v>0</v>
      </c>
    </row>
    <row r="37">
      <c r="A37" t="inlineStr">
        <is>
          <t>DETP_NW1502</t>
        </is>
      </c>
      <c r="B37" t="inlineStr">
        <is>
          <t>Bottrop</t>
        </is>
      </c>
      <c r="C37" t="n">
        <v>3.965</v>
      </c>
      <c r="D37" t="n">
        <v>5.539432175380069</v>
      </c>
      <c r="E37" t="n">
        <v>0</v>
      </c>
      <c r="F37" t="n">
        <v>1</v>
      </c>
      <c r="G37" t="n">
        <v>986.9201176633352</v>
      </c>
      <c r="H37" t="n">
        <v>178.1626864301522</v>
      </c>
      <c r="I37" t="n">
        <v>3</v>
      </c>
      <c r="J37" t="n">
        <v>0</v>
      </c>
    </row>
    <row r="38">
      <c r="A38" t="inlineStr">
        <is>
          <t>DETP_RP102380095</t>
        </is>
      </c>
      <c r="B38" t="inlineStr">
        <is>
          <t>Mainz</t>
        </is>
      </c>
      <c r="C38" t="n">
        <v>0.369</v>
      </c>
      <c r="D38" t="n">
        <v>1.039116882454314</v>
      </c>
      <c r="E38" t="n">
        <v>1</v>
      </c>
      <c r="F38" t="n">
        <v>1</v>
      </c>
      <c r="G38" t="n">
        <v>788.3311941731683</v>
      </c>
      <c r="H38" t="n">
        <v>758.6549766289916</v>
      </c>
      <c r="I38" t="n">
        <v>1</v>
      </c>
      <c r="J38" t="n">
        <v>0</v>
      </c>
    </row>
    <row r="39">
      <c r="A39" t="inlineStr">
        <is>
          <t>DETP_BYDON-K0001</t>
        </is>
      </c>
      <c r="B39" t="inlineStr">
        <is>
          <t>Augsburg</t>
        </is>
      </c>
      <c r="C39" t="n">
        <v>16.908</v>
      </c>
      <c r="D39" t="n">
        <v>19.17805265996397</v>
      </c>
      <c r="E39" t="n">
        <v>1</v>
      </c>
      <c r="F39" t="n">
        <v>1</v>
      </c>
      <c r="G39" t="n">
        <v>2289.854331796242</v>
      </c>
      <c r="H39" t="n">
        <v>119.3997311612629</v>
      </c>
      <c r="I39" t="n">
        <v>1</v>
      </c>
      <c r="J39" t="n">
        <v>1</v>
      </c>
    </row>
    <row r="40">
      <c r="A40" t="inlineStr">
        <is>
          <t>FR037635102000</t>
        </is>
      </c>
      <c r="B40" t="inlineStr">
        <is>
          <t>LE HAVRE</t>
        </is>
      </c>
      <c r="C40" t="n">
        <v>2.006</v>
      </c>
      <c r="D40" t="n">
        <v>3.100782104868027</v>
      </c>
      <c r="E40" t="n">
        <v>0</v>
      </c>
      <c r="F40" t="n">
        <v>1</v>
      </c>
      <c r="G40" t="n">
        <v>601.9042341923251</v>
      </c>
      <c r="H40" t="n">
        <v>194.113682882578</v>
      </c>
      <c r="I40" t="n">
        <v>2</v>
      </c>
      <c r="J40" t="n">
        <v>0</v>
      </c>
    </row>
    <row r="41">
      <c r="A41" t="inlineStr">
        <is>
          <t>IT03160128000456</t>
        </is>
      </c>
      <c r="B41" t="inlineStr">
        <is>
          <t>Dp01514601_Milano_Nosedo</t>
        </is>
      </c>
      <c r="C41" t="n">
        <v>21.314</v>
      </c>
      <c r="D41" t="n">
        <v>22.78388093841175</v>
      </c>
      <c r="E41" t="n">
        <v>0</v>
      </c>
      <c r="F41" t="n">
        <v>1</v>
      </c>
      <c r="G41" t="n">
        <v>2421.869334253624</v>
      </c>
      <c r="H41" t="n">
        <v>106.2974890362314</v>
      </c>
      <c r="I41" t="n">
        <v>1</v>
      </c>
      <c r="J41" t="n">
        <v>0</v>
      </c>
    </row>
    <row r="42">
      <c r="A42" t="inlineStr">
        <is>
          <t>UKENNE_NU_TP000012</t>
        </is>
      </c>
      <c r="B42" t="inlineStr">
        <is>
          <t>MIDDLESBOROUGH   STW</t>
        </is>
      </c>
      <c r="C42" t="n">
        <v>2.656</v>
      </c>
      <c r="D42" t="n">
        <v>2.864335495461301</v>
      </c>
      <c r="E42" t="n">
        <v>1</v>
      </c>
      <c r="F42" t="n">
        <v>1</v>
      </c>
      <c r="G42" t="n">
        <v>444.768073325286</v>
      </c>
      <c r="H42" t="n">
        <v>155.2779253792183</v>
      </c>
      <c r="I42" t="n">
        <v>3</v>
      </c>
      <c r="J42" t="n">
        <v>0</v>
      </c>
    </row>
    <row r="43">
      <c r="A43" t="inlineStr">
        <is>
          <t>UKENNE_YW_TP000098</t>
        </is>
      </c>
      <c r="B43" t="inlineStr">
        <is>
          <t>LEEDS (KNOSTROP) STW</t>
        </is>
      </c>
      <c r="C43" t="n">
        <v>8.316000000000001</v>
      </c>
      <c r="D43" t="n">
        <v>9.133300858899066</v>
      </c>
      <c r="E43" t="n">
        <v>0</v>
      </c>
      <c r="F43" t="n">
        <v>1</v>
      </c>
      <c r="G43" t="n">
        <v>1140.052955639987</v>
      </c>
      <c r="H43" t="n">
        <v>124.823760133684</v>
      </c>
      <c r="I43" t="n">
        <v>1</v>
      </c>
      <c r="J43" t="n">
        <v>0</v>
      </c>
    </row>
    <row r="44">
      <c r="A44" t="inlineStr">
        <is>
          <t>FIJVP_O000000000036</t>
        </is>
      </c>
      <c r="B44" t="inlineStr">
        <is>
          <t>TP (36) of Helsingin kt.</t>
        </is>
      </c>
      <c r="C44" t="n">
        <v>3.532</v>
      </c>
      <c r="D44" t="n">
        <v>4.151564209736055</v>
      </c>
      <c r="E44" t="n">
        <v>0</v>
      </c>
      <c r="F44" t="n">
        <v>1</v>
      </c>
      <c r="G44" t="n">
        <v>576.3925808776509</v>
      </c>
      <c r="H44" t="n">
        <v>138.837448190232</v>
      </c>
      <c r="I44" t="n">
        <v>0</v>
      </c>
      <c r="J44" t="n">
        <v>0</v>
      </c>
    </row>
    <row r="45">
      <c r="A45" t="inlineStr">
        <is>
          <t>PLMP0020</t>
        </is>
      </c>
      <c r="B45" t="inlineStr">
        <is>
          <t>Tarnów</t>
        </is>
      </c>
      <c r="C45" t="n">
        <v>6.042</v>
      </c>
      <c r="D45" t="n">
        <v>6.616173157302018</v>
      </c>
      <c r="E45" t="n">
        <v>0</v>
      </c>
      <c r="F45" t="n">
        <v>1</v>
      </c>
      <c r="G45" t="n">
        <v>832.1444348529102</v>
      </c>
      <c r="H45" t="n">
        <v>125.7742829681693</v>
      </c>
      <c r="I45" t="n">
        <v>0</v>
      </c>
      <c r="J45" t="n">
        <v>0</v>
      </c>
    </row>
    <row r="46">
      <c r="A46" t="inlineStr">
        <is>
          <t>DETP_BB239</t>
        </is>
      </c>
      <c r="B46" t="inlineStr">
        <is>
          <t>Stahnsdorf</t>
        </is>
      </c>
      <c r="C46" t="n">
        <v>12.435</v>
      </c>
      <c r="D46" t="n">
        <v>13.74957502887885</v>
      </c>
      <c r="E46" t="n">
        <v>0</v>
      </c>
      <c r="F46" t="n">
        <v>1</v>
      </c>
      <c r="G46" t="n">
        <v>1635.590632668716</v>
      </c>
      <c r="H46" t="n">
        <v>118.9557225756731</v>
      </c>
      <c r="I46" t="n">
        <v>0</v>
      </c>
      <c r="J46" t="n">
        <v>0</v>
      </c>
    </row>
    <row r="47">
      <c r="A47" t="inlineStr">
        <is>
          <t>NL25021</t>
        </is>
      </c>
      <c r="B47" t="inlineStr">
        <is>
          <t>UWWTP BATH</t>
        </is>
      </c>
      <c r="C47" t="n">
        <v>2.125</v>
      </c>
      <c r="D47" t="n">
        <v>1.671959594928934</v>
      </c>
      <c r="E47" t="n">
        <v>1</v>
      </c>
      <c r="F47" t="n">
        <v>1</v>
      </c>
      <c r="G47" t="n">
        <v>192.1959594928932</v>
      </c>
      <c r="H47" t="n">
        <v>114.9525144482109</v>
      </c>
      <c r="I47" t="n">
        <v>2</v>
      </c>
      <c r="J47" t="n">
        <v>0</v>
      </c>
    </row>
    <row r="48">
      <c r="A48" t="inlineStr">
        <is>
          <t>NL16010</t>
        </is>
      </c>
      <c r="B48" t="inlineStr">
        <is>
          <t>UWWTP KRALINGSEVEER</t>
        </is>
      </c>
      <c r="C48" t="n">
        <v>4.526</v>
      </c>
      <c r="D48" t="n">
        <v>5.276122650963186</v>
      </c>
      <c r="E48" t="n">
        <v>1</v>
      </c>
      <c r="F48" t="n">
        <v>1</v>
      </c>
      <c r="G48" t="n">
        <v>1066.765323460076</v>
      </c>
      <c r="H48" t="n">
        <v>202.1873625825079</v>
      </c>
      <c r="I48" t="n">
        <v>1</v>
      </c>
      <c r="J48" t="n">
        <v>0</v>
      </c>
    </row>
    <row r="49">
      <c r="A49" t="inlineStr">
        <is>
          <t>PLPM0110</t>
        </is>
      </c>
      <c r="B49" t="inlineStr">
        <is>
          <t>International Paper-Kwidzyn Sp z o.o.</t>
        </is>
      </c>
      <c r="C49" t="n">
        <v>0.668</v>
      </c>
      <c r="D49" t="n">
        <v>0.9466904755831214</v>
      </c>
      <c r="E49" t="n">
        <v>1</v>
      </c>
      <c r="F49" t="n">
        <v>1</v>
      </c>
      <c r="G49" t="n">
        <v>135.2550427584737</v>
      </c>
      <c r="H49" t="n">
        <v>142.871451912688</v>
      </c>
      <c r="I49" t="n">
        <v>0</v>
      </c>
      <c r="J49" t="n">
        <v>0</v>
      </c>
    </row>
    <row r="50">
      <c r="A50" t="inlineStr">
        <is>
          <t>PLLO0010</t>
        </is>
      </c>
      <c r="B50" t="inlineStr">
        <is>
          <t>Goś Łam</t>
        </is>
      </c>
      <c r="C50" t="n">
        <v>19.043</v>
      </c>
      <c r="D50" t="n">
        <v>23.3956471735029</v>
      </c>
      <c r="E50" t="n">
        <v>0</v>
      </c>
      <c r="F50" t="n">
        <v>1</v>
      </c>
      <c r="G50" t="n">
        <v>2891.240100488814</v>
      </c>
      <c r="H50" t="n">
        <v>123.5802574319608</v>
      </c>
      <c r="I50" t="n">
        <v>0</v>
      </c>
      <c r="J50" t="n">
        <v>0</v>
      </c>
    </row>
    <row r="51">
      <c r="A51" t="inlineStr">
        <is>
          <t>PLKP0011</t>
        </is>
      </c>
      <c r="B51" t="inlineStr">
        <is>
          <t>Toruń Centralna Oczyszczalnia Ścieków</t>
        </is>
      </c>
      <c r="C51" t="n">
        <v>8.003</v>
      </c>
      <c r="D51" t="n">
        <v>9.277787873376871</v>
      </c>
      <c r="E51" t="n">
        <v>0</v>
      </c>
      <c r="F51" t="n">
        <v>1</v>
      </c>
      <c r="G51" t="n">
        <v>1852.15168120802</v>
      </c>
      <c r="H51" t="n">
        <v>199.6328981095669</v>
      </c>
      <c r="I51" t="n">
        <v>0</v>
      </c>
      <c r="J51" t="n">
        <v>0</v>
      </c>
    </row>
    <row r="52">
      <c r="A52" t="inlineStr">
        <is>
          <t>DETP_BE01</t>
        </is>
      </c>
      <c r="B52" t="inlineStr">
        <is>
          <t>Ruhleben</t>
        </is>
      </c>
      <c r="C52" t="n">
        <v>11.776</v>
      </c>
      <c r="D52" t="n">
        <v>13.76479364188585</v>
      </c>
      <c r="E52" t="n">
        <v>1</v>
      </c>
      <c r="F52" t="n">
        <v>1</v>
      </c>
      <c r="G52" t="n">
        <v>3278.198439409079</v>
      </c>
      <c r="H52" t="n">
        <v>238.1581972601188</v>
      </c>
      <c r="I52" t="n">
        <v>0</v>
      </c>
      <c r="J52" t="n">
        <v>0</v>
      </c>
    </row>
    <row r="53">
      <c r="A53" t="inlineStr">
        <is>
          <t>DETP_BW2215100000002</t>
        </is>
      </c>
      <c r="B53" t="inlineStr">
        <is>
          <t>SKA AZV Heidelberg</t>
        </is>
      </c>
      <c r="C53" t="n">
        <v>12.014</v>
      </c>
      <c r="D53" t="n">
        <v>14.98439825669304</v>
      </c>
      <c r="E53" t="n">
        <v>1</v>
      </c>
      <c r="F53" t="n">
        <v>1</v>
      </c>
      <c r="G53" t="n">
        <v>2047.138795442428</v>
      </c>
      <c r="H53" t="n">
        <v>136.6180183130169</v>
      </c>
      <c r="I53" t="n">
        <v>1</v>
      </c>
      <c r="J53" t="n">
        <v>0</v>
      </c>
    </row>
    <row r="54">
      <c r="A54" t="inlineStr">
        <is>
          <t>BGWT68134_00_01</t>
        </is>
      </c>
      <c r="B54" t="inlineStr">
        <is>
          <t>UWWTP Sofia</t>
        </is>
      </c>
      <c r="C54" t="n">
        <v>4.741</v>
      </c>
      <c r="D54" t="n">
        <v>5.133797256769659</v>
      </c>
      <c r="E54" t="n">
        <v>0</v>
      </c>
      <c r="F54" t="n">
        <v>1</v>
      </c>
      <c r="G54" t="n">
        <v>543.1348550166973</v>
      </c>
      <c r="H54" t="n">
        <v>105.7959299620753</v>
      </c>
      <c r="I54" t="n">
        <v>0</v>
      </c>
      <c r="J54" t="n">
        <v>0</v>
      </c>
    </row>
    <row r="55">
      <c r="A55" t="inlineStr">
        <is>
          <t>PLPM0010</t>
        </is>
      </c>
      <c r="B55" t="inlineStr">
        <is>
          <t>Gdańsk-Wschód</t>
        </is>
      </c>
      <c r="C55" t="n">
        <v>22.342</v>
      </c>
      <c r="D55" t="n">
        <v>24.69409521865947</v>
      </c>
      <c r="E55" t="n">
        <v>0</v>
      </c>
      <c r="F55" t="n">
        <v>1</v>
      </c>
      <c r="G55" t="n">
        <v>2763.226207306609</v>
      </c>
      <c r="H55" t="n">
        <v>111.8982567629628</v>
      </c>
      <c r="I55" t="n">
        <v>0</v>
      </c>
      <c r="J55" t="n">
        <v>0</v>
      </c>
    </row>
    <row r="56">
      <c r="A56" t="inlineStr">
        <is>
          <t>DETP_HE064120006011</t>
        </is>
      </c>
      <c r="B56" t="inlineStr">
        <is>
          <t>Frankfurt am Main / Sindlingen</t>
        </is>
      </c>
      <c r="C56" t="n">
        <v>1.101</v>
      </c>
      <c r="D56" t="n">
        <v>0.6681118318204309</v>
      </c>
      <c r="E56" t="n">
        <v>1</v>
      </c>
      <c r="F56" t="n">
        <v>1</v>
      </c>
      <c r="G56" t="n">
        <v>139.3052063035462</v>
      </c>
      <c r="H56" t="n">
        <v>208.5058214340791</v>
      </c>
      <c r="I56" t="n">
        <v>1</v>
      </c>
      <c r="J56" t="n">
        <v>0</v>
      </c>
    </row>
    <row r="57">
      <c r="A57" t="inlineStr">
        <is>
          <t>ES1210410001010E</t>
        </is>
      </c>
      <c r="B57" t="inlineStr">
        <is>
          <t>HUELVA</t>
        </is>
      </c>
      <c r="C57" t="n">
        <v>0.6830000000000001</v>
      </c>
      <c r="D57" t="n">
        <v>1.172253967444162</v>
      </c>
      <c r="E57" t="n">
        <v>0</v>
      </c>
      <c r="F57" t="n">
        <v>1</v>
      </c>
      <c r="G57" t="n">
        <v>143.3386001561707</v>
      </c>
      <c r="H57" t="n">
        <v>122.2760631543764</v>
      </c>
      <c r="I57" t="n">
        <v>2</v>
      </c>
      <c r="J57" t="n">
        <v>0</v>
      </c>
    </row>
    <row r="58">
      <c r="A58" t="inlineStr">
        <is>
          <t>IT05000000000213</t>
        </is>
      </c>
      <c r="B58" t="inlineStr">
        <is>
          <t>Venezia_Fusina_Via_Dei_Cantieri</t>
        </is>
      </c>
      <c r="C58" t="n">
        <v>9.734</v>
      </c>
      <c r="D58" t="n">
        <v>11.02253967444164</v>
      </c>
      <c r="E58" t="n">
        <v>1</v>
      </c>
      <c r="F58" t="n">
        <v>1</v>
      </c>
      <c r="G58" t="n">
        <v>1300.050430705362</v>
      </c>
      <c r="H58" t="n">
        <v>117.944726814623</v>
      </c>
      <c r="I58" t="n">
        <v>2</v>
      </c>
      <c r="J58" t="n">
        <v>0</v>
      </c>
    </row>
    <row r="59">
      <c r="A59" t="inlineStr">
        <is>
          <t>NL31005</t>
        </is>
      </c>
      <c r="B59" t="inlineStr">
        <is>
          <t>UWWTP AMSTERDAN-WESTPOORT</t>
        </is>
      </c>
      <c r="C59" t="n">
        <v>5.959</v>
      </c>
      <c r="D59" t="n">
        <v>7.812813126546274</v>
      </c>
      <c r="E59" t="n">
        <v>1</v>
      </c>
      <c r="F59" t="n">
        <v>1</v>
      </c>
      <c r="G59" t="n">
        <v>1037.233411397763</v>
      </c>
      <c r="H59" t="n">
        <v>132.7605555895692</v>
      </c>
      <c r="I59" t="n">
        <v>0</v>
      </c>
      <c r="J59" t="n">
        <v>0</v>
      </c>
    </row>
    <row r="60">
      <c r="A60" t="inlineStr">
        <is>
          <t>NL15008</t>
        </is>
      </c>
      <c r="B60" t="inlineStr">
        <is>
          <t>UWWTP HARNASCHPOLDER</t>
        </is>
      </c>
      <c r="C60" t="n">
        <v>13.406</v>
      </c>
      <c r="D60" t="n">
        <v>16.29452018978117</v>
      </c>
      <c r="E60" t="n">
        <v>0</v>
      </c>
      <c r="F60" t="n">
        <v>1</v>
      </c>
      <c r="G60" t="n">
        <v>2587.082262396376</v>
      </c>
      <c r="H60" t="n">
        <v>158.7700792821638</v>
      </c>
      <c r="I60" t="n">
        <v>0</v>
      </c>
      <c r="J60" t="n">
        <v>0</v>
      </c>
    </row>
    <row r="61">
      <c r="A61" t="inlineStr">
        <is>
          <t>UKENTH_TWU_TP000125</t>
        </is>
      </c>
      <c r="B61" t="inlineStr">
        <is>
          <t>LONDON (Riverside STW)</t>
        </is>
      </c>
      <c r="C61" t="n">
        <v>14.42</v>
      </c>
      <c r="D61" t="n">
        <v>14.79126983722079</v>
      </c>
      <c r="E61" t="n">
        <v>0</v>
      </c>
      <c r="F61" t="n">
        <v>1</v>
      </c>
      <c r="G61" t="n">
        <v>1620.030344098482</v>
      </c>
      <c r="H61" t="n">
        <v>109.5261165489546</v>
      </c>
      <c r="I61" t="n">
        <v>1</v>
      </c>
      <c r="J61" t="n">
        <v>0</v>
      </c>
    </row>
    <row r="62">
      <c r="A62" t="inlineStr">
        <is>
          <t>UKENNE_YW_TP000095</t>
        </is>
      </c>
      <c r="B62" t="inlineStr">
        <is>
          <t>HULL STW</t>
        </is>
      </c>
      <c r="C62" t="n">
        <v>8.4</v>
      </c>
      <c r="D62" t="n">
        <v>10.66773736703803</v>
      </c>
      <c r="E62" t="n">
        <v>1</v>
      </c>
      <c r="F62" t="n">
        <v>1</v>
      </c>
      <c r="G62" t="n">
        <v>4183.29279505842</v>
      </c>
      <c r="H62" t="n">
        <v>392.1443368098159</v>
      </c>
      <c r="I62" t="n">
        <v>1</v>
      </c>
      <c r="J62" t="n">
        <v>0</v>
      </c>
    </row>
    <row r="63">
      <c r="A63" t="inlineStr">
        <is>
          <t>DETP_NW1</t>
        </is>
      </c>
      <c r="B63" t="inlineStr">
        <is>
          <t>Aachen-Soers</t>
        </is>
      </c>
      <c r="C63" t="n">
        <v>7.516</v>
      </c>
      <c r="D63" t="n">
        <v>8.473889603929505</v>
      </c>
      <c r="E63" t="n">
        <v>1</v>
      </c>
      <c r="F63" t="n">
        <v>1</v>
      </c>
      <c r="G63" t="n">
        <v>1404.175216888851</v>
      </c>
      <c r="H63" t="n">
        <v>165.7061022175351</v>
      </c>
      <c r="I63" t="n">
        <v>2</v>
      </c>
      <c r="J63" t="n">
        <v>0</v>
      </c>
    </row>
    <row r="64">
      <c r="A64" t="inlineStr">
        <is>
          <t>HU-WWTP-AIA440</t>
        </is>
      </c>
      <c r="B64" t="inlineStr">
        <is>
          <t>Budapest (Eszak Pest) - Szennyviztisztito Telep</t>
        </is>
      </c>
      <c r="C64" t="n">
        <v>17.074</v>
      </c>
      <c r="D64" t="n">
        <v>20.65319984622132</v>
      </c>
      <c r="E64" t="n">
        <v>0</v>
      </c>
      <c r="F64" t="n">
        <v>1</v>
      </c>
      <c r="G64" t="n">
        <v>2704.286741501225</v>
      </c>
      <c r="H64" t="n">
        <v>130.937906069601</v>
      </c>
      <c r="I64" t="n">
        <v>0</v>
      </c>
      <c r="J64" t="n">
        <v>0</v>
      </c>
    </row>
    <row r="65">
      <c r="A65" t="inlineStr">
        <is>
          <t>IT08000000000007</t>
        </is>
      </c>
      <c r="B65" t="inlineStr">
        <is>
          <t>Bologna_Corticella</t>
        </is>
      </c>
      <c r="C65" t="n">
        <v>12.674</v>
      </c>
      <c r="D65" t="n">
        <v>13.11830519165802</v>
      </c>
      <c r="E65" t="n">
        <v>0</v>
      </c>
      <c r="F65" t="n">
        <v>1</v>
      </c>
      <c r="G65" t="n">
        <v>1418.848808578125</v>
      </c>
      <c r="H65" t="n">
        <v>108.1579356364095</v>
      </c>
      <c r="I65" t="n">
        <v>0</v>
      </c>
      <c r="J65" t="n">
        <v>0</v>
      </c>
    </row>
    <row r="66">
      <c r="A66" t="inlineStr">
        <is>
          <t>PLPM0020</t>
        </is>
      </c>
      <c r="B66" t="inlineStr">
        <is>
          <t>Goś Dębogórze</t>
        </is>
      </c>
      <c r="C66" t="n">
        <v>15.135</v>
      </c>
      <c r="D66" t="n">
        <v>18.02851080638842</v>
      </c>
      <c r="E66" t="n">
        <v>1</v>
      </c>
      <c r="F66" t="n">
        <v>1</v>
      </c>
      <c r="G66" t="n">
        <v>2773.185447931794</v>
      </c>
      <c r="H66" t="n">
        <v>153.8222140316277</v>
      </c>
      <c r="I66" t="n">
        <v>0</v>
      </c>
      <c r="J66" t="n">
        <v>0</v>
      </c>
    </row>
    <row r="67">
      <c r="A67" t="inlineStr">
        <is>
          <t>DETP_ST152611000039</t>
        </is>
      </c>
      <c r="B67" t="inlineStr">
        <is>
          <t>Schkopau</t>
        </is>
      </c>
      <c r="C67" t="n">
        <v>0.314</v>
      </c>
      <c r="D67" t="n">
        <v>0.7849747468305833</v>
      </c>
      <c r="E67" t="n">
        <v>0</v>
      </c>
      <c r="F67" t="n">
        <v>1</v>
      </c>
      <c r="G67" t="n">
        <v>105.6763630543496</v>
      </c>
      <c r="H67" t="n">
        <v>134.6239015726669</v>
      </c>
      <c r="I67" t="n">
        <v>1</v>
      </c>
      <c r="J67" t="n">
        <v>0</v>
      </c>
    </row>
    <row r="68">
      <c r="A68" t="inlineStr">
        <is>
          <t>HRUWWTP_0004008_001</t>
        </is>
      </c>
      <c r="B68" t="inlineStr">
        <is>
          <t>Zagreb</t>
        </is>
      </c>
      <c r="C68" t="n">
        <v>3.713</v>
      </c>
      <c r="D68" t="n">
        <v>3.488305191658009</v>
      </c>
      <c r="E68" t="n">
        <v>0</v>
      </c>
      <c r="F68" t="n">
        <v>1</v>
      </c>
      <c r="G68" t="n">
        <v>461.2419113028077</v>
      </c>
      <c r="H68" t="n">
        <v>132.225217107101</v>
      </c>
      <c r="I68" t="n">
        <v>0</v>
      </c>
      <c r="J68" t="n">
        <v>0</v>
      </c>
    </row>
    <row r="69">
      <c r="A69" t="inlineStr">
        <is>
          <t>UKENTH_TWU_TP000102</t>
        </is>
      </c>
      <c r="B69" t="inlineStr">
        <is>
          <t>LONDON (Long Reach STW)</t>
        </is>
      </c>
      <c r="C69" t="n">
        <v>11.903</v>
      </c>
      <c r="D69" t="n">
        <v>14.07205194208884</v>
      </c>
      <c r="E69" t="n">
        <v>0</v>
      </c>
      <c r="F69" t="n">
        <v>1</v>
      </c>
      <c r="G69" t="n">
        <v>2188.052052873437</v>
      </c>
      <c r="H69" t="n">
        <v>155.4891967339231</v>
      </c>
      <c r="I69" t="n">
        <v>1</v>
      </c>
      <c r="J69" t="n">
        <v>0</v>
      </c>
    </row>
    <row r="70">
      <c r="A70" t="inlineStr">
        <is>
          <t>PLLO0030</t>
        </is>
      </c>
      <c r="B70" t="inlineStr">
        <is>
          <t>Kutno</t>
        </is>
      </c>
      <c r="C70" t="n">
        <v>5.59</v>
      </c>
      <c r="D70" t="n">
        <v>6.206934341759512</v>
      </c>
      <c r="E70" t="n">
        <v>0</v>
      </c>
      <c r="F70" t="n">
        <v>1</v>
      </c>
      <c r="G70" t="n">
        <v>674.6558796801386</v>
      </c>
      <c r="H70" t="n">
        <v>108.6938966215793</v>
      </c>
      <c r="I70" t="n">
        <v>0</v>
      </c>
      <c r="J70" t="n">
        <v>0</v>
      </c>
    </row>
    <row r="71">
      <c r="A71" t="inlineStr">
        <is>
          <t>FR026830000459</t>
        </is>
      </c>
      <c r="B71" t="inlineStr">
        <is>
          <t>SAUSHEIM</t>
        </is>
      </c>
      <c r="C71" t="n">
        <v>2.054</v>
      </c>
      <c r="D71" t="n">
        <v>1.799411254969544</v>
      </c>
      <c r="E71" t="n">
        <v>0</v>
      </c>
      <c r="F71" t="n">
        <v>1</v>
      </c>
      <c r="G71" t="n">
        <v>317.7994049791912</v>
      </c>
      <c r="H71" t="n">
        <v>176.6129916668606</v>
      </c>
      <c r="I71" t="n">
        <v>2</v>
      </c>
      <c r="J71" t="n">
        <v>0</v>
      </c>
    </row>
    <row r="72">
      <c r="A72" t="inlineStr">
        <is>
          <t>RO7BV_511</t>
        </is>
      </c>
      <c r="B72" t="inlineStr">
        <is>
          <t>ROWP SC COMPANIA APA SA Brasov</t>
        </is>
      </c>
      <c r="C72" t="n">
        <v>8.859999999999999</v>
      </c>
      <c r="D72" t="n">
        <v>9.075462479183367</v>
      </c>
      <c r="E72" t="n">
        <v>0</v>
      </c>
      <c r="F72" t="n">
        <v>1</v>
      </c>
      <c r="G72" t="n">
        <v>968.3310242053473</v>
      </c>
      <c r="H72" t="n">
        <v>106.6977056460136</v>
      </c>
      <c r="I72" t="n">
        <v>0</v>
      </c>
      <c r="J72" t="n">
        <v>0</v>
      </c>
    </row>
    <row r="73">
      <c r="A73" t="inlineStr">
        <is>
          <t>ATTP_5-A1699622R154</t>
        </is>
      </c>
      <c r="B73" t="inlineStr">
        <is>
          <t>ARA Siggerwiesen</t>
        </is>
      </c>
      <c r="C73" t="n">
        <v>24.613</v>
      </c>
      <c r="D73" t="n">
        <v>26.98488598904541</v>
      </c>
      <c r="E73" t="n">
        <v>0</v>
      </c>
      <c r="F73" t="n">
        <v>1</v>
      </c>
      <c r="G73" t="n">
        <v>3008.986107711963</v>
      </c>
      <c r="H73" t="n">
        <v>111.5063487366027</v>
      </c>
      <c r="I73" t="n">
        <v>1</v>
      </c>
      <c r="J73" t="n">
        <v>0</v>
      </c>
    </row>
    <row r="74">
      <c r="A74" t="inlineStr">
        <is>
          <t>ES10030140002012E</t>
        </is>
      </c>
      <c r="B74" t="inlineStr">
        <is>
          <t>RINCON DE LEON</t>
        </is>
      </c>
      <c r="C74" t="n">
        <v>11.282</v>
      </c>
      <c r="D74" t="n">
        <v>11.96351513914727</v>
      </c>
      <c r="E74" t="n">
        <v>0</v>
      </c>
      <c r="F74" t="n">
        <v>1</v>
      </c>
      <c r="G74" t="n">
        <v>1308.647978471008</v>
      </c>
      <c r="H74" t="n">
        <v>109.3865777114973</v>
      </c>
      <c r="I74" t="n">
        <v>1</v>
      </c>
      <c r="J74" t="n">
        <v>0</v>
      </c>
    </row>
    <row r="75">
      <c r="A75" t="inlineStr">
        <is>
          <t>DETP_BW1115100000001</t>
        </is>
      </c>
      <c r="B75" t="inlineStr">
        <is>
          <t>Hauptklärwerk Mühlhausen</t>
        </is>
      </c>
      <c r="C75" t="n">
        <v>0.853</v>
      </c>
      <c r="D75" t="n">
        <v>0.9415432893255071</v>
      </c>
      <c r="E75" t="n">
        <v>0</v>
      </c>
      <c r="F75" t="n">
        <v>1</v>
      </c>
      <c r="G75" t="n">
        <v>117.1248916810278</v>
      </c>
      <c r="H75" t="n">
        <v>124.3967144250292</v>
      </c>
      <c r="I75" t="n">
        <v>0</v>
      </c>
      <c r="J75" t="n">
        <v>0</v>
      </c>
    </row>
    <row r="76">
      <c r="A76" t="inlineStr">
        <is>
          <t>DETP_NI201000201</t>
        </is>
      </c>
      <c r="B76" t="inlineStr">
        <is>
          <t>2530002102 KA Herrenhausen</t>
        </is>
      </c>
      <c r="C76" t="n">
        <v>9.131</v>
      </c>
      <c r="D76" t="n">
        <v>10.59322943214972</v>
      </c>
      <c r="E76" t="n">
        <v>1</v>
      </c>
      <c r="F76" t="n">
        <v>1</v>
      </c>
      <c r="G76" t="n">
        <v>2046.625567333951</v>
      </c>
      <c r="H76" t="n">
        <v>193.2012877133184</v>
      </c>
      <c r="I76" t="n">
        <v>0</v>
      </c>
      <c r="J76" t="n">
        <v>0</v>
      </c>
    </row>
    <row r="77">
      <c r="A77" t="inlineStr">
        <is>
          <t>FR037649801000</t>
        </is>
      </c>
      <c r="B77" t="inlineStr">
        <is>
          <t>ROUEN</t>
        </is>
      </c>
      <c r="C77" t="n">
        <v>10.44</v>
      </c>
      <c r="D77" t="n">
        <v>11.99727055509585</v>
      </c>
      <c r="E77" t="n">
        <v>0</v>
      </c>
      <c r="F77" t="n">
        <v>1</v>
      </c>
      <c r="G77" t="n">
        <v>1618.334611737438</v>
      </c>
      <c r="H77" t="n">
        <v>134.8918993120522</v>
      </c>
      <c r="I77" t="n">
        <v>1</v>
      </c>
      <c r="J77" t="n">
        <v>0</v>
      </c>
    </row>
    <row r="78">
      <c r="A78" t="inlineStr">
        <is>
          <t>UKENTH_TWU_TP000014</t>
        </is>
      </c>
      <c r="B78" t="inlineStr">
        <is>
          <t>LONDON (Becton STW)</t>
        </is>
      </c>
      <c r="C78" t="n">
        <v>20.304</v>
      </c>
      <c r="D78" t="n">
        <v>23.72520994748925</v>
      </c>
      <c r="E78" t="n">
        <v>0</v>
      </c>
      <c r="F78" t="n">
        <v>1</v>
      </c>
      <c r="G78" t="n">
        <v>3015.405926312989</v>
      </c>
      <c r="H78" t="n">
        <v>127.0971229753901</v>
      </c>
      <c r="I78" t="n">
        <v>0</v>
      </c>
      <c r="J78" t="n">
        <v>0</v>
      </c>
    </row>
    <row r="79">
      <c r="A79" t="inlineStr">
        <is>
          <t>DETP_SH56027</t>
        </is>
      </c>
      <c r="B79" t="inlineStr">
        <is>
          <t>Hetlingen</t>
        </is>
      </c>
      <c r="C79" t="n">
        <v>0.307</v>
      </c>
      <c r="D79" t="n">
        <v>0.6391168824543142</v>
      </c>
      <c r="E79" t="n">
        <v>1</v>
      </c>
      <c r="F79" t="n">
        <v>1</v>
      </c>
      <c r="G79" t="n">
        <v>1017.733553095303</v>
      </c>
      <c r="H79" t="n">
        <v>1592.405991822714</v>
      </c>
      <c r="I79" t="n">
        <v>1</v>
      </c>
      <c r="J79" t="n">
        <v>0</v>
      </c>
    </row>
    <row r="80">
      <c r="A80" t="inlineStr">
        <is>
          <t>ES9082110001010E</t>
        </is>
      </c>
      <c r="B80" t="inlineStr">
        <is>
          <t>SANT FELIU DE LLOBREGAT</t>
        </is>
      </c>
      <c r="C80" t="n">
        <v>2.382</v>
      </c>
      <c r="D80" t="n">
        <v>3.250365799264597</v>
      </c>
      <c r="E80" t="n">
        <v>0</v>
      </c>
      <c r="F80" t="n">
        <v>1</v>
      </c>
      <c r="G80" t="n">
        <v>444.0534396646766</v>
      </c>
      <c r="H80" t="n">
        <v>136.6164509130464</v>
      </c>
      <c r="I80" t="n">
        <v>3</v>
      </c>
      <c r="J80" t="n">
        <v>0</v>
      </c>
    </row>
    <row r="81">
      <c r="A81" t="inlineStr">
        <is>
          <t>ES1410910002013E</t>
        </is>
      </c>
      <c r="B81" t="inlineStr">
        <is>
          <t>LA RANILLA</t>
        </is>
      </c>
      <c r="C81" t="n">
        <v>13.297</v>
      </c>
      <c r="D81" t="n">
        <v>13.41174890405598</v>
      </c>
      <c r="E81" t="n">
        <v>0</v>
      </c>
      <c r="F81" t="n">
        <v>1</v>
      </c>
      <c r="G81" t="n">
        <v>1488.464246750233</v>
      </c>
      <c r="H81" t="n">
        <v>110.9821140701562</v>
      </c>
      <c r="I81" t="n">
        <v>2</v>
      </c>
      <c r="J81" t="n">
        <v>0</v>
      </c>
    </row>
    <row r="82">
      <c r="A82" t="inlineStr">
        <is>
          <t>ATTP_3-11</t>
        </is>
      </c>
      <c r="B82" t="inlineStr">
        <is>
          <t>ARA AWV Schwechat</t>
        </is>
      </c>
      <c r="C82" t="n">
        <v>0.522</v>
      </c>
      <c r="D82" t="n">
        <v>0.5297056274847715</v>
      </c>
      <c r="E82" t="n">
        <v>1</v>
      </c>
      <c r="F82" t="n">
        <v>1</v>
      </c>
      <c r="G82" t="n">
        <v>155.2411240042966</v>
      </c>
      <c r="H82" t="n">
        <v>293.0705583428214</v>
      </c>
      <c r="I82" t="n">
        <v>0</v>
      </c>
      <c r="J82" t="n">
        <v>0</v>
      </c>
    </row>
    <row r="83">
      <c r="A83" t="inlineStr">
        <is>
          <t>EL300001011</t>
        </is>
      </c>
      <c r="B83" t="inlineStr">
        <is>
          <t>PSYTTALIA</t>
        </is>
      </c>
      <c r="C83" t="n">
        <v>7.347</v>
      </c>
      <c r="D83" t="n">
        <v>7.558670990922547</v>
      </c>
      <c r="E83" t="n">
        <v>0</v>
      </c>
      <c r="F83" t="n">
        <v>1</v>
      </c>
      <c r="G83" t="n">
        <v>2118.406050385397</v>
      </c>
      <c r="H83" t="n">
        <v>280.2617090927042</v>
      </c>
      <c r="I83" t="n">
        <v>0</v>
      </c>
      <c r="J83" t="n">
        <v>0</v>
      </c>
    </row>
    <row r="84">
      <c r="A84" t="inlineStr">
        <is>
          <t>BERW6207901</t>
        </is>
      </c>
      <c r="B84" t="inlineStr">
        <is>
          <t>LIEGE OUPEYE</t>
        </is>
      </c>
      <c r="C84" t="n">
        <v>2.764</v>
      </c>
      <c r="D84" t="n">
        <v>3.455584412271586</v>
      </c>
      <c r="E84" t="n">
        <v>0</v>
      </c>
      <c r="F84" t="n">
        <v>1</v>
      </c>
      <c r="G84" t="n">
        <v>388.9432173941103</v>
      </c>
      <c r="H84" t="n">
        <v>112.554975075383</v>
      </c>
      <c r="I84" t="n">
        <v>1</v>
      </c>
      <c r="J84" t="n">
        <v>0</v>
      </c>
    </row>
    <row r="85">
      <c r="A85" t="inlineStr">
        <is>
          <t>DETP_NW35</t>
        </is>
      </c>
      <c r="B85" t="inlineStr">
        <is>
          <t>Düren</t>
        </is>
      </c>
      <c r="C85" t="n">
        <v>1.521</v>
      </c>
      <c r="D85" t="n">
        <v>1.438406204335661</v>
      </c>
      <c r="E85" t="n">
        <v>1</v>
      </c>
      <c r="F85" t="n">
        <v>1</v>
      </c>
      <c r="G85" t="n">
        <v>266.5687463571697</v>
      </c>
      <c r="H85" t="n">
        <v>185.3223001636638</v>
      </c>
      <c r="I85" t="n">
        <v>0</v>
      </c>
      <c r="J85" t="n">
        <v>0</v>
      </c>
    </row>
    <row r="86">
      <c r="A86" t="inlineStr">
        <is>
          <t>IETP_D0034</t>
        </is>
      </c>
      <c r="B86" t="inlineStr">
        <is>
          <t>Ringsend</t>
        </is>
      </c>
      <c r="C86" t="n">
        <v>0.161</v>
      </c>
      <c r="D86" t="n">
        <v>0.0382842712474619</v>
      </c>
      <c r="E86" t="n">
        <v>0</v>
      </c>
      <c r="F86" t="n">
        <v>1</v>
      </c>
      <c r="G86" t="n">
        <v>5.949747468305833</v>
      </c>
      <c r="H86" t="n">
        <v>155.4097093777194</v>
      </c>
      <c r="I86" t="n">
        <v>0</v>
      </c>
      <c r="J86" t="n">
        <v>0</v>
      </c>
    </row>
    <row r="87">
      <c r="A87" t="inlineStr">
        <is>
          <t>UKENAN_AW_TP000308</t>
        </is>
      </c>
      <c r="B87" t="inlineStr">
        <is>
          <t>TILBURY STW, TILBURY, ESSEX"</t>
        </is>
      </c>
      <c r="C87" t="n">
        <v>3.614</v>
      </c>
      <c r="D87" t="n">
        <v>2.672497833620562</v>
      </c>
      <c r="E87" t="n">
        <v>0</v>
      </c>
      <c r="F87" t="n">
        <v>1</v>
      </c>
      <c r="G87" t="n">
        <v>286.4924240491751</v>
      </c>
      <c r="H87" t="n">
        <v>107.2002455699094</v>
      </c>
      <c r="I87" t="n">
        <v>1</v>
      </c>
      <c r="J87" t="n">
        <v>0</v>
      </c>
    </row>
    <row r="88">
      <c r="A88" t="inlineStr">
        <is>
          <t>DETP_NW316</t>
        </is>
      </c>
      <c r="B88" t="inlineStr">
        <is>
          <t>Abwasserverband Obere Lutter</t>
        </is>
      </c>
      <c r="C88" t="n">
        <v>7.893</v>
      </c>
      <c r="D88" t="n">
        <v>8.800681092190315</v>
      </c>
      <c r="E88" t="n">
        <v>1</v>
      </c>
      <c r="F88" t="n">
        <v>1</v>
      </c>
      <c r="G88" t="n">
        <v>1557.923786624541</v>
      </c>
      <c r="H88" t="n">
        <v>177.0230929066428</v>
      </c>
      <c r="I88" t="n">
        <v>0</v>
      </c>
      <c r="J88" t="n">
        <v>0</v>
      </c>
    </row>
    <row r="89">
      <c r="A89" t="inlineStr">
        <is>
          <t>FR026751900405</t>
        </is>
      </c>
      <c r="B89" t="inlineStr">
        <is>
          <t>STRASBOURG - LA WANTZENAU</t>
        </is>
      </c>
      <c r="C89" t="n">
        <v>6.271</v>
      </c>
      <c r="D89" t="n">
        <v>9.493473298326105</v>
      </c>
      <c r="E89" t="n">
        <v>1</v>
      </c>
      <c r="F89" t="n">
        <v>1</v>
      </c>
      <c r="G89" t="n">
        <v>2001.879767427349</v>
      </c>
      <c r="H89" t="n">
        <v>210.8690575640342</v>
      </c>
      <c r="I89" t="n">
        <v>1</v>
      </c>
      <c r="J89" t="n">
        <v>0</v>
      </c>
    </row>
    <row r="90">
      <c r="A90" t="inlineStr">
        <is>
          <t>PLZA0011</t>
        </is>
      </c>
      <c r="B90" t="inlineStr">
        <is>
          <t>Pomorzany</t>
        </is>
      </c>
      <c r="C90" t="n">
        <v>6.94</v>
      </c>
      <c r="D90" t="n">
        <v>7.386883835420683</v>
      </c>
      <c r="E90" t="n">
        <v>0</v>
      </c>
      <c r="F90" t="n">
        <v>1</v>
      </c>
      <c r="G90" t="n">
        <v>986.2845496398693</v>
      </c>
      <c r="H90" t="n">
        <v>133.5183511226423</v>
      </c>
      <c r="I90" t="n">
        <v>0</v>
      </c>
      <c r="J90" t="n">
        <v>0</v>
      </c>
    </row>
    <row r="91">
      <c r="A91" t="inlineStr">
        <is>
          <t>DETP_NW1204</t>
        </is>
      </c>
      <c r="B91" t="inlineStr">
        <is>
          <t>Dortmund-Deusen</t>
        </is>
      </c>
      <c r="C91" t="n">
        <v>5.576</v>
      </c>
      <c r="D91" t="n">
        <v>5.96918830920368</v>
      </c>
      <c r="E91" t="n">
        <v>0</v>
      </c>
      <c r="F91" t="n">
        <v>1</v>
      </c>
      <c r="G91" t="n">
        <v>879.7505274900257</v>
      </c>
      <c r="H91" t="n">
        <v>147.3819356868956</v>
      </c>
      <c r="I91" t="n">
        <v>0</v>
      </c>
      <c r="J91" t="n">
        <v>0</v>
      </c>
    </row>
    <row r="92">
      <c r="A92" t="inlineStr">
        <is>
          <t>IT19CT00G7001DE001</t>
        </is>
      </c>
      <c r="B92" t="inlineStr">
        <is>
          <t>Impianto_Consortile_Di_Catania</t>
        </is>
      </c>
      <c r="C92" t="n">
        <v>9.51</v>
      </c>
      <c r="D92" t="n">
        <v>10.69704760932996</v>
      </c>
      <c r="E92" t="n">
        <v>1</v>
      </c>
      <c r="F92" t="n">
        <v>1</v>
      </c>
      <c r="G92" t="n">
        <v>1374.548028651057</v>
      </c>
      <c r="H92" t="n">
        <v>128.4978882820132</v>
      </c>
      <c r="I92" t="n">
        <v>1</v>
      </c>
      <c r="J92" t="n">
        <v>0</v>
      </c>
    </row>
    <row r="93">
      <c r="A93" t="inlineStr">
        <is>
          <t>FR060934172001</t>
        </is>
      </c>
      <c r="B93" t="inlineStr">
        <is>
          <t>MAERA (EX CEREIREDE)</t>
        </is>
      </c>
      <c r="C93" t="n">
        <v>1.033</v>
      </c>
      <c r="D93" t="n">
        <v>0.8691168824543143</v>
      </c>
      <c r="E93" t="n">
        <v>0</v>
      </c>
      <c r="F93" t="n">
        <v>1</v>
      </c>
      <c r="G93" t="n">
        <v>124.5182899632296</v>
      </c>
      <c r="H93" t="n">
        <v>143.2699012952093</v>
      </c>
      <c r="I93" t="n">
        <v>0</v>
      </c>
      <c r="J93" t="n">
        <v>0</v>
      </c>
    </row>
    <row r="94">
      <c r="A94" t="inlineStr">
        <is>
          <t>NL11014</t>
        </is>
      </c>
      <c r="B94" t="inlineStr">
        <is>
          <t>UWWTP AMSTERDAM-WEST</t>
        </is>
      </c>
      <c r="C94" t="n">
        <v>4.178</v>
      </c>
      <c r="D94" t="n">
        <v>4.262152954766505</v>
      </c>
      <c r="E94" t="n">
        <v>1</v>
      </c>
      <c r="F94" t="n">
        <v>1</v>
      </c>
      <c r="G94" t="n">
        <v>597.7399774133918</v>
      </c>
      <c r="H94" t="n">
        <v>140.2436711580047</v>
      </c>
      <c r="I94" t="n">
        <v>0</v>
      </c>
      <c r="J94" t="n">
        <v>0</v>
      </c>
    </row>
    <row r="95">
      <c r="A95" t="inlineStr">
        <is>
          <t>ES7240890002010E</t>
        </is>
      </c>
      <c r="B95" t="inlineStr">
        <is>
          <t>LEON</t>
        </is>
      </c>
      <c r="C95" t="n">
        <v>5.557</v>
      </c>
      <c r="D95" t="n">
        <v>5.792985565973324</v>
      </c>
      <c r="E95" t="n">
        <v>0</v>
      </c>
      <c r="F95" t="n">
        <v>1</v>
      </c>
      <c r="G95" t="n">
        <v>720.1607065448507</v>
      </c>
      <c r="H95" t="n">
        <v>124.3159849689442</v>
      </c>
      <c r="I95" t="n">
        <v>1</v>
      </c>
      <c r="J95" t="n">
        <v>0</v>
      </c>
    </row>
    <row r="96">
      <c r="A96" t="inlineStr">
        <is>
          <t>RO5TM_528</t>
        </is>
      </c>
      <c r="B96" t="inlineStr">
        <is>
          <t>ROWP RA Aquatim Timisoara</t>
        </is>
      </c>
      <c r="C96" t="n">
        <v>9.558999999999999</v>
      </c>
      <c r="D96" t="n">
        <v>10.8554033073268</v>
      </c>
      <c r="E96" t="n">
        <v>0</v>
      </c>
      <c r="F96" t="n">
        <v>1</v>
      </c>
      <c r="G96" t="n">
        <v>1182.868671087133</v>
      </c>
      <c r="H96" t="n">
        <v>108.9658889309771</v>
      </c>
      <c r="I96" t="n">
        <v>0</v>
      </c>
      <c r="J96" t="n">
        <v>0</v>
      </c>
    </row>
    <row r="97">
      <c r="A97" t="inlineStr">
        <is>
          <t>FR0531555V018</t>
        </is>
      </c>
      <c r="B97" t="inlineStr">
        <is>
          <t>TOULOUSE GINESTOUS</t>
        </is>
      </c>
      <c r="C97" t="n">
        <v>0.235</v>
      </c>
      <c r="D97" t="n">
        <v>0.2365685424949238</v>
      </c>
      <c r="E97" t="n">
        <v>0</v>
      </c>
      <c r="F97" t="n">
        <v>1</v>
      </c>
      <c r="G97" t="n">
        <v>63.05685422565052</v>
      </c>
      <c r="H97" t="n">
        <v>266.5479254368893</v>
      </c>
      <c r="I97" t="n">
        <v>0</v>
      </c>
      <c r="J97" t="n">
        <v>0</v>
      </c>
    </row>
    <row r="98">
      <c r="A98" t="inlineStr">
        <is>
          <t>ES10462501014011E</t>
        </is>
      </c>
      <c r="B98" t="inlineStr">
        <is>
          <t>PINEDO 1</t>
        </is>
      </c>
      <c r="C98" t="n">
        <v>19.813</v>
      </c>
      <c r="D98" t="n">
        <v>22.19701802340141</v>
      </c>
      <c r="E98" t="n">
        <v>0</v>
      </c>
      <c r="F98" t="n">
        <v>1</v>
      </c>
      <c r="G98" t="n">
        <v>2511.904275461603</v>
      </c>
      <c r="H98" t="n">
        <v>113.1640418011737</v>
      </c>
      <c r="I98" t="n">
        <v>0</v>
      </c>
      <c r="J98" t="n">
        <v>0</v>
      </c>
    </row>
    <row r="99">
      <c r="A99" t="inlineStr">
        <is>
          <t>IT09RT0017</t>
        </is>
      </c>
      <c r="B99" t="inlineStr">
        <is>
          <t>Idl_San_Colombano</t>
        </is>
      </c>
      <c r="C99" t="n">
        <v>17.59</v>
      </c>
      <c r="D99" t="n">
        <v>18.54205194208885</v>
      </c>
      <c r="E99" t="n">
        <v>0</v>
      </c>
      <c r="F99" t="n">
        <v>1</v>
      </c>
      <c r="G99" t="n">
        <v>2129.874862194846</v>
      </c>
      <c r="H99" t="n">
        <v>114.8672686737661</v>
      </c>
      <c r="I99" t="n">
        <v>1</v>
      </c>
      <c r="J99" t="n">
        <v>0</v>
      </c>
    </row>
    <row r="100">
      <c r="A100" t="inlineStr">
        <is>
          <t>ES10030140002011E</t>
        </is>
      </c>
      <c r="B100" t="inlineStr">
        <is>
          <t>MONTE ORGEGIA</t>
        </is>
      </c>
      <c r="C100" t="n">
        <v>13.091</v>
      </c>
      <c r="D100" t="n">
        <v>14.06375900532372</v>
      </c>
      <c r="E100" t="n">
        <v>0</v>
      </c>
      <c r="F100" t="n">
        <v>1</v>
      </c>
      <c r="G100" t="n">
        <v>1654.481318342681</v>
      </c>
      <c r="H100" t="n">
        <v>117.6414725050672</v>
      </c>
      <c r="I100" t="n">
        <v>1</v>
      </c>
      <c r="J100" t="n">
        <v>0</v>
      </c>
    </row>
    <row r="101">
      <c r="A101" t="inlineStr">
        <is>
          <t>DETP_NW601</t>
        </is>
      </c>
      <c r="B101" t="inlineStr">
        <is>
          <t>Düsseldorf-Süd</t>
        </is>
      </c>
      <c r="C101" t="n">
        <v>6.981</v>
      </c>
      <c r="D101" t="n">
        <v>7.63577777210909</v>
      </c>
      <c r="E101" t="n">
        <v>1</v>
      </c>
      <c r="F101" t="n">
        <v>1</v>
      </c>
      <c r="G101" t="n">
        <v>1241.399536570571</v>
      </c>
      <c r="H101" t="n">
        <v>162.576697963236</v>
      </c>
      <c r="I101" t="n">
        <v>0</v>
      </c>
      <c r="J101" t="n">
        <v>0</v>
      </c>
    </row>
    <row r="102">
      <c r="A102" t="inlineStr">
        <is>
          <t>EL122001013</t>
        </is>
      </c>
      <c r="B102" t="inlineStr">
        <is>
          <t>THESSALONIKI</t>
        </is>
      </c>
      <c r="C102" t="n">
        <v>4.778</v>
      </c>
      <c r="D102" t="n">
        <v>5.102396820942888</v>
      </c>
      <c r="E102" t="n">
        <v>0</v>
      </c>
      <c r="F102" t="n">
        <v>1</v>
      </c>
      <c r="G102" t="n">
        <v>617.3361466028889</v>
      </c>
      <c r="H102" t="n">
        <v>120.9894424653568</v>
      </c>
      <c r="I102" t="n">
        <v>2</v>
      </c>
      <c r="J102" t="n">
        <v>0</v>
      </c>
    </row>
    <row r="103">
      <c r="A103" t="inlineStr">
        <is>
          <t>DETP_NW2104</t>
        </is>
      </c>
      <c r="B103" t="inlineStr">
        <is>
          <t>Mönchengladbach GWK I</t>
        </is>
      </c>
      <c r="C103" t="n">
        <v>3.574</v>
      </c>
      <c r="D103" t="n">
        <v>4.399604614807109</v>
      </c>
      <c r="E103" t="n">
        <v>1</v>
      </c>
      <c r="F103" t="n">
        <v>1</v>
      </c>
      <c r="G103" t="n">
        <v>678.7463612757086</v>
      </c>
      <c r="H103" t="n">
        <v>154.2743997929611</v>
      </c>
      <c r="I103" t="n">
        <v>0</v>
      </c>
      <c r="J103" t="n">
        <v>0</v>
      </c>
    </row>
    <row r="104">
      <c r="A104" t="inlineStr">
        <is>
          <t>DK6070012</t>
        </is>
      </c>
      <c r="B104" t="inlineStr">
        <is>
          <t>FREDERICIA CENTRALRENS.</t>
        </is>
      </c>
      <c r="C104" t="n">
        <v>2.582</v>
      </c>
      <c r="D104" t="n">
        <v>2.52865007051206</v>
      </c>
      <c r="E104" t="n">
        <v>0</v>
      </c>
      <c r="F104" t="n">
        <v>1</v>
      </c>
      <c r="G104" t="n">
        <v>397.7271544477002</v>
      </c>
      <c r="H104" t="n">
        <v>157.2883330460822</v>
      </c>
      <c r="I104" t="n">
        <v>0</v>
      </c>
      <c r="J104" t="n">
        <v>0</v>
      </c>
    </row>
    <row r="105">
      <c r="A105" t="inlineStr">
        <is>
          <t>UKENTH_TWU_TP000054</t>
        </is>
      </c>
      <c r="B105" t="inlineStr">
        <is>
          <t>LONDON (Deepham STW)</t>
        </is>
      </c>
      <c r="C105" t="n">
        <v>24.581</v>
      </c>
      <c r="D105" t="n">
        <v>28.04110965268648</v>
      </c>
      <c r="E105" t="n">
        <v>0</v>
      </c>
      <c r="F105" t="n">
        <v>1</v>
      </c>
      <c r="G105" t="n">
        <v>3286.826550226645</v>
      </c>
      <c r="H105" t="n">
        <v>117.2145678590059</v>
      </c>
      <c r="I105" t="n">
        <v>0</v>
      </c>
      <c r="J105" t="n">
        <v>0</v>
      </c>
    </row>
    <row r="106">
      <c r="A106" t="inlineStr">
        <is>
          <t>ES3330242402020E</t>
        </is>
      </c>
      <c r="B106" t="inlineStr">
        <is>
          <t>GIJON OESTE</t>
        </is>
      </c>
      <c r="C106" t="n">
        <v>0.45</v>
      </c>
      <c r="D106" t="n">
        <v>0.6711269837220809</v>
      </c>
      <c r="E106" t="n">
        <v>0</v>
      </c>
      <c r="F106" t="n">
        <v>1</v>
      </c>
      <c r="G106" t="n">
        <v>104.8761543394987</v>
      </c>
      <c r="H106" t="n">
        <v>156.2687194573132</v>
      </c>
      <c r="I106" t="n">
        <v>1</v>
      </c>
      <c r="J106" t="n">
        <v>0</v>
      </c>
    </row>
    <row r="107">
      <c r="A107" t="inlineStr">
        <is>
          <t>FR037800501000</t>
        </is>
      </c>
      <c r="B107" t="inlineStr">
        <is>
          <t>PARIS SEINE AVAL</t>
        </is>
      </c>
      <c r="C107" t="n">
        <v>37.619</v>
      </c>
      <c r="D107" t="n">
        <v>41.95024745555159</v>
      </c>
      <c r="E107" t="n">
        <v>1</v>
      </c>
      <c r="F107" t="n">
        <v>1</v>
      </c>
      <c r="G107" t="n">
        <v>6166.140972045161</v>
      </c>
      <c r="H107" t="n">
        <v>146.9869987913301</v>
      </c>
      <c r="I107" t="n">
        <v>0</v>
      </c>
      <c r="J107" t="n">
        <v>0</v>
      </c>
    </row>
    <row r="108">
      <c r="A108" t="inlineStr">
        <is>
          <t>CZ4205-763691-26161516-4/1U</t>
        </is>
      </c>
      <c r="B108" t="inlineStr">
        <is>
          <t>COV Steti -Papirny Mondi</t>
        </is>
      </c>
      <c r="C108" t="n">
        <v>22.245</v>
      </c>
      <c r="D108" t="n">
        <v>24.53532321505923</v>
      </c>
      <c r="E108" t="n">
        <v>0</v>
      </c>
      <c r="F108" t="n">
        <v>1</v>
      </c>
      <c r="G108" t="n">
        <v>2813.403459857852</v>
      </c>
      <c r="H108" t="n">
        <v>114.6674708622159</v>
      </c>
      <c r="I108" t="n">
        <v>0</v>
      </c>
      <c r="J108" t="n">
        <v>0</v>
      </c>
    </row>
    <row r="109">
      <c r="A109" t="inlineStr">
        <is>
          <t>PLLE0010</t>
        </is>
      </c>
      <c r="B109" t="inlineStr">
        <is>
          <t>Lublin-Hajdów</t>
        </is>
      </c>
      <c r="C109" t="n">
        <v>25</v>
      </c>
      <c r="D109" t="n">
        <v>27.91583186782222</v>
      </c>
      <c r="E109" t="n">
        <v>1</v>
      </c>
      <c r="F109" t="n">
        <v>1</v>
      </c>
      <c r="G109" t="n">
        <v>3291.574302103033</v>
      </c>
      <c r="H109" t="n">
        <v>117.910665090985</v>
      </c>
      <c r="I109" t="n">
        <v>0</v>
      </c>
      <c r="J109" t="n">
        <v>0</v>
      </c>
    </row>
    <row r="110">
      <c r="A110" t="inlineStr">
        <is>
          <t>LV100175</t>
        </is>
      </c>
      <c r="B110" t="inlineStr">
        <is>
          <t>BAI "Daugavgrīva"</t>
        </is>
      </c>
      <c r="C110" t="n">
        <v>26.531</v>
      </c>
      <c r="D110" t="n">
        <v>32.58460387142248</v>
      </c>
      <c r="E110" t="n">
        <v>0</v>
      </c>
      <c r="F110" t="n">
        <v>1</v>
      </c>
      <c r="G110" t="n">
        <v>4983.697762391114</v>
      </c>
      <c r="H110" t="n">
        <v>152.9463970793256</v>
      </c>
      <c r="I110" t="n">
        <v>0</v>
      </c>
      <c r="J110" t="n">
        <v>0</v>
      </c>
    </row>
    <row r="111">
      <c r="A111" t="inlineStr">
        <is>
          <t>UKENNW_UU_TP000133</t>
        </is>
      </c>
      <c r="B111" t="inlineStr">
        <is>
          <t>WIGAN (HOSCAR) STW</t>
        </is>
      </c>
      <c r="C111" t="n">
        <v>4.975</v>
      </c>
      <c r="D111" t="n">
        <v>4.893259018078047</v>
      </c>
      <c r="E111" t="n">
        <v>0</v>
      </c>
      <c r="F111" t="n">
        <v>1</v>
      </c>
      <c r="G111" t="n">
        <v>546.6964642940214</v>
      </c>
      <c r="H111" t="n">
        <v>111.724407449976</v>
      </c>
      <c r="I111" t="n">
        <v>1</v>
      </c>
      <c r="J111" t="n">
        <v>0</v>
      </c>
    </row>
    <row r="112">
      <c r="A112" t="inlineStr">
        <is>
          <t>ES6390850005010E</t>
        </is>
      </c>
      <c r="B112" t="inlineStr">
        <is>
          <t>VUELTA OSTRERA</t>
        </is>
      </c>
      <c r="C112" t="n">
        <v>5.276</v>
      </c>
      <c r="D112" t="n">
        <v>5.814457428549495</v>
      </c>
      <c r="E112" t="n">
        <v>0</v>
      </c>
      <c r="F112" t="n">
        <v>1</v>
      </c>
      <c r="G112" t="n">
        <v>669.4224018508313</v>
      </c>
      <c r="H112" t="n">
        <v>115.1306738551234</v>
      </c>
      <c r="I112" t="n">
        <v>1</v>
      </c>
      <c r="J112" t="n">
        <v>0</v>
      </c>
    </row>
    <row r="113">
      <c r="A113" t="inlineStr">
        <is>
          <t>IT15Q15000000002</t>
        </is>
      </c>
      <c r="B113" t="inlineStr">
        <is>
          <t>Orta_Di_Atella_Ce_Impianto_Napoli_Nord</t>
        </is>
      </c>
      <c r="C113" t="n">
        <v>19.006</v>
      </c>
      <c r="D113" t="n">
        <v>20.50449926937052</v>
      </c>
      <c r="E113" t="n">
        <v>1</v>
      </c>
      <c r="F113" t="n">
        <v>1</v>
      </c>
      <c r="G113" t="n">
        <v>2474.735241510125</v>
      </c>
      <c r="H113" t="n">
        <v>120.6923031379199</v>
      </c>
      <c r="I113" t="n">
        <v>1</v>
      </c>
      <c r="J113" t="n">
        <v>0</v>
      </c>
    </row>
    <row r="114">
      <c r="A114" t="inlineStr">
        <is>
          <t>FR060969152001</t>
        </is>
      </c>
      <c r="B114" t="inlineStr">
        <is>
          <t>LYON - PIERRE BÉNITE</t>
        </is>
      </c>
      <c r="C114" t="n">
        <v>14.938</v>
      </c>
      <c r="D114" t="n">
        <v>16.82645886429955</v>
      </c>
      <c r="E114" t="n">
        <v>0</v>
      </c>
      <c r="F114" t="n">
        <v>1</v>
      </c>
      <c r="G114" t="n">
        <v>2123.136288906646</v>
      </c>
      <c r="H114" t="n">
        <v>126.1784375446502</v>
      </c>
      <c r="I114" t="n">
        <v>0</v>
      </c>
      <c r="J114" t="n">
        <v>0</v>
      </c>
    </row>
    <row r="115">
      <c r="A115" t="inlineStr">
        <is>
          <t>IT15Q15000000001</t>
        </is>
      </c>
      <c r="B115" t="inlineStr">
        <is>
          <t>Caivano_Depuratore_Di_Acerra</t>
        </is>
      </c>
      <c r="C115" t="n">
        <v>14.478</v>
      </c>
      <c r="D115" t="n">
        <v>16.6460634791067</v>
      </c>
      <c r="E115" t="n">
        <v>1</v>
      </c>
      <c r="F115" t="n">
        <v>1</v>
      </c>
      <c r="G115" t="n">
        <v>2073.078459227802</v>
      </c>
      <c r="H115" t="n">
        <v>124.5386611573256</v>
      </c>
      <c r="I115" t="n">
        <v>1</v>
      </c>
      <c r="J115" t="n">
        <v>0</v>
      </c>
    </row>
    <row r="116">
      <c r="A116" t="inlineStr">
        <is>
          <t>CZ6203-697931-46347275-4/1U</t>
        </is>
      </c>
      <c r="B116" t="inlineStr">
        <is>
          <t>COV Brno - Modrice</t>
        </is>
      </c>
      <c r="C116" t="n">
        <v>16.336</v>
      </c>
      <c r="D116" t="n">
        <v>17.21311975395445</v>
      </c>
      <c r="E116" t="n">
        <v>0</v>
      </c>
      <c r="F116" t="n">
        <v>1</v>
      </c>
      <c r="G116" t="n">
        <v>1904.896158768252</v>
      </c>
      <c r="H116" t="n">
        <v>110.665363745618</v>
      </c>
      <c r="I116" t="n">
        <v>0</v>
      </c>
      <c r="J116" t="n">
        <v>0</v>
      </c>
    </row>
    <row r="117">
      <c r="A117" t="inlineStr">
        <is>
          <t>RO1IS_51</t>
        </is>
      </c>
      <c r="B117" t="inlineStr">
        <is>
          <t>ROWP DANCU IASI</t>
        </is>
      </c>
      <c r="C117" t="n">
        <v>11.835</v>
      </c>
      <c r="D117" t="n">
        <v>13.92531096016697</v>
      </c>
      <c r="E117" t="n">
        <v>1</v>
      </c>
      <c r="F117" t="n">
        <v>1</v>
      </c>
      <c r="G117" t="n">
        <v>2061.507947983383</v>
      </c>
      <c r="H117" t="n">
        <v>148.040352842409</v>
      </c>
      <c r="I117" t="n">
        <v>0</v>
      </c>
      <c r="J117" t="n">
        <v>0</v>
      </c>
    </row>
    <row r="118">
      <c r="A118" t="inlineStr">
        <is>
          <t>DETP_BYAB-K0033</t>
        </is>
      </c>
      <c r="B118" t="inlineStr">
        <is>
          <t>Würzburg</t>
        </is>
      </c>
      <c r="C118" t="n">
        <v>6.842</v>
      </c>
      <c r="D118" t="n">
        <v>8.215168106668138</v>
      </c>
      <c r="E118" t="n">
        <v>0</v>
      </c>
      <c r="F118" t="n">
        <v>1</v>
      </c>
      <c r="G118" t="n">
        <v>1117.730637391086</v>
      </c>
      <c r="H118" t="n">
        <v>136.0569403910115</v>
      </c>
      <c r="I118" t="n">
        <v>0</v>
      </c>
      <c r="J118" t="n">
        <v>0</v>
      </c>
    </row>
    <row r="119">
      <c r="A119" t="inlineStr">
        <is>
          <t>HU-WWTP-AIA512</t>
        </is>
      </c>
      <c r="B119" t="inlineStr">
        <is>
          <t>Debrecen - Szennyviztisztito Telep</t>
        </is>
      </c>
      <c r="C119" t="n">
        <v>4.13</v>
      </c>
      <c r="D119" t="n">
        <v>4.358843430349627</v>
      </c>
      <c r="E119" t="n">
        <v>0</v>
      </c>
      <c r="F119" t="n">
        <v>1</v>
      </c>
      <c r="G119" t="n">
        <v>488.4573440908201</v>
      </c>
      <c r="H119" t="n">
        <v>112.0612272259663</v>
      </c>
      <c r="I119" t="n">
        <v>0</v>
      </c>
      <c r="J119" t="n">
        <v>0</v>
      </c>
    </row>
    <row r="120">
      <c r="A120" t="inlineStr">
        <is>
          <t>DETP_BW1215100000017</t>
        </is>
      </c>
      <c r="B120" t="inlineStr">
        <is>
          <t>SKA Heilbronn</t>
        </is>
      </c>
      <c r="C120" t="n">
        <v>3.37</v>
      </c>
      <c r="D120" t="n">
        <v>2.910782104868027</v>
      </c>
      <c r="E120" t="n">
        <v>1</v>
      </c>
      <c r="F120" t="n">
        <v>1</v>
      </c>
      <c r="G120" t="n">
        <v>388.3387219593695</v>
      </c>
      <c r="H120" t="n">
        <v>133.4138757105546</v>
      </c>
      <c r="I120" t="n">
        <v>0</v>
      </c>
      <c r="J120" t="n">
        <v>0</v>
      </c>
    </row>
    <row r="121">
      <c r="A121" t="inlineStr">
        <is>
          <t>ES1110200014010E</t>
        </is>
      </c>
      <c r="B121" t="inlineStr">
        <is>
          <t>GUADALETE</t>
        </is>
      </c>
      <c r="C121" t="n">
        <v>23.998</v>
      </c>
      <c r="D121" t="n">
        <v>24.57073159852917</v>
      </c>
      <c r="E121" t="n">
        <v>0</v>
      </c>
      <c r="F121" t="n">
        <v>1</v>
      </c>
      <c r="G121" t="n">
        <v>2588.684132695473</v>
      </c>
      <c r="H121" t="n">
        <v>105.356412458245</v>
      </c>
      <c r="I121" t="n">
        <v>1</v>
      </c>
      <c r="J121" t="n">
        <v>0</v>
      </c>
    </row>
    <row r="122">
      <c r="A122" t="inlineStr">
        <is>
          <t>PLWL1330</t>
        </is>
      </c>
      <c r="B122" t="inlineStr">
        <is>
          <t>Dopiewo</t>
        </is>
      </c>
      <c r="C122" t="n">
        <v>13.849</v>
      </c>
      <c r="D122" t="n">
        <v>15.00908729652605</v>
      </c>
      <c r="E122" t="n">
        <v>0</v>
      </c>
      <c r="F122" t="n">
        <v>1</v>
      </c>
      <c r="G122" t="n">
        <v>1651.168438608046</v>
      </c>
      <c r="H122" t="n">
        <v>110.0112489178619</v>
      </c>
      <c r="I122" t="n">
        <v>0</v>
      </c>
      <c r="J122" t="n">
        <v>0</v>
      </c>
    </row>
    <row r="123">
      <c r="A123" t="inlineStr">
        <is>
          <t>DETP_NW2101</t>
        </is>
      </c>
      <c r="B123" t="inlineStr">
        <is>
          <t>Düsseldorf-Nord</t>
        </is>
      </c>
      <c r="C123" t="n">
        <v>8.282</v>
      </c>
      <c r="D123" t="n">
        <v>9.17043722601397</v>
      </c>
      <c r="E123" t="n">
        <v>1</v>
      </c>
      <c r="F123" t="n">
        <v>1</v>
      </c>
      <c r="G123" t="n">
        <v>1637.764092168822</v>
      </c>
      <c r="H123" t="n">
        <v>178.5917128927007</v>
      </c>
      <c r="I123" t="n">
        <v>0</v>
      </c>
      <c r="J123" t="n">
        <v>0</v>
      </c>
    </row>
    <row r="124">
      <c r="A124" t="inlineStr">
        <is>
          <t>IT01000000000043</t>
        </is>
      </c>
      <c r="B124" t="inlineStr">
        <is>
          <t>Castiglione</t>
        </is>
      </c>
      <c r="C124" t="n">
        <v>74.816</v>
      </c>
      <c r="D124" t="n">
        <v>81.39974598153709</v>
      </c>
      <c r="E124" t="n">
        <v>1</v>
      </c>
      <c r="F124" t="n">
        <v>1</v>
      </c>
      <c r="G124" t="n">
        <v>8849.066671587583</v>
      </c>
      <c r="H124" t="n">
        <v>108.7112320177843</v>
      </c>
      <c r="I124" t="n">
        <v>0</v>
      </c>
      <c r="J124" t="n">
        <v>0</v>
      </c>
    </row>
    <row r="125">
      <c r="A125" t="inlineStr">
        <is>
          <t>FR037862401000</t>
        </is>
      </c>
      <c r="B125" t="inlineStr">
        <is>
          <t>PARIS SEINE GRÉSILLONS</t>
        </is>
      </c>
      <c r="C125" t="n">
        <v>28.183</v>
      </c>
      <c r="D125" t="n">
        <v>31.73439825669252</v>
      </c>
      <c r="E125" t="n">
        <v>0</v>
      </c>
      <c r="F125" t="n">
        <v>1</v>
      </c>
      <c r="G125" t="n">
        <v>3793.177152353051</v>
      </c>
      <c r="H125" t="n">
        <v>119.528882245407</v>
      </c>
      <c r="I125" t="n">
        <v>0</v>
      </c>
      <c r="J125" t="n">
        <v>0</v>
      </c>
    </row>
    <row r="126">
      <c r="A126" t="inlineStr">
        <is>
          <t>DETP_NW3008</t>
        </is>
      </c>
      <c r="B126" t="inlineStr">
        <is>
          <t>Münster-Hauptkläranlage</t>
        </is>
      </c>
      <c r="C126" t="n">
        <v>11.137</v>
      </c>
      <c r="D126" t="n">
        <v>12.7073001410241</v>
      </c>
      <c r="E126" t="n">
        <v>1</v>
      </c>
      <c r="F126" t="n">
        <v>1</v>
      </c>
      <c r="G126" t="n">
        <v>1933.241292579135</v>
      </c>
      <c r="H126" t="n">
        <v>152.1362737264607</v>
      </c>
      <c r="I126" t="n">
        <v>0</v>
      </c>
      <c r="J126" t="n">
        <v>0</v>
      </c>
    </row>
    <row r="127">
      <c r="A127" t="inlineStr">
        <is>
          <t>DETP_NW2138</t>
        </is>
      </c>
      <c r="B127" t="inlineStr">
        <is>
          <t>Neuss-Ost</t>
        </is>
      </c>
      <c r="C127" t="n">
        <v>6.629</v>
      </c>
      <c r="D127" t="n">
        <v>7.359381669041197</v>
      </c>
      <c r="E127" t="n">
        <v>1</v>
      </c>
      <c r="F127" t="n">
        <v>1</v>
      </c>
      <c r="G127" t="n">
        <v>1185.260648962871</v>
      </c>
      <c r="H127" t="n">
        <v>161.0543796021508</v>
      </c>
      <c r="I127" t="n">
        <v>0</v>
      </c>
      <c r="J127" t="n">
        <v>0</v>
      </c>
    </row>
    <row r="128">
      <c r="A128" t="inlineStr">
        <is>
          <t>ES6390750005010E</t>
        </is>
      </c>
      <c r="B128" t="inlineStr">
        <is>
          <t>SAN ROMÁN</t>
        </is>
      </c>
      <c r="C128" t="n">
        <v>10.131</v>
      </c>
      <c r="D128" t="n">
        <v>11.95477272147529</v>
      </c>
      <c r="E128" t="n">
        <v>0</v>
      </c>
      <c r="F128" t="n">
        <v>1</v>
      </c>
      <c r="G128" t="n">
        <v>1413.752625052105</v>
      </c>
      <c r="H128" t="n">
        <v>118.2584276581412</v>
      </c>
      <c r="I128" t="n">
        <v>1</v>
      </c>
      <c r="J128" t="n">
        <v>0</v>
      </c>
    </row>
    <row r="129">
      <c r="A129" t="inlineStr">
        <is>
          <t>UKENTH_TWU_TP000052</t>
        </is>
      </c>
      <c r="B129" t="inlineStr">
        <is>
          <t>LONDON (Crossness STW)</t>
        </is>
      </c>
      <c r="C129" t="n">
        <v>17.046</v>
      </c>
      <c r="D129" t="n">
        <v>18.15175756957363</v>
      </c>
      <c r="E129" t="n">
        <v>0</v>
      </c>
      <c r="F129" t="n">
        <v>1</v>
      </c>
      <c r="G129" t="n">
        <v>2778.227109878179</v>
      </c>
      <c r="H129" t="n">
        <v>153.0555429263282</v>
      </c>
      <c r="I129" t="n">
        <v>0</v>
      </c>
      <c r="J129" t="n">
        <v>0</v>
      </c>
    </row>
    <row r="130">
      <c r="A130" t="inlineStr">
        <is>
          <t>IT19SR00G7002DE001</t>
        </is>
      </c>
      <c r="B130" t="inlineStr">
        <is>
          <t>Impianto_C_Da_Magnisi_Casale_Vecchie_Saline_Depuratore_Ias_Priolo</t>
        </is>
      </c>
      <c r="C130" t="n">
        <v>1.952</v>
      </c>
      <c r="D130" t="n">
        <v>2.504507934888329</v>
      </c>
      <c r="E130" t="n">
        <v>0</v>
      </c>
      <c r="F130" t="n">
        <v>1</v>
      </c>
      <c r="G130" t="n">
        <v>268.5929291125637</v>
      </c>
      <c r="H130" t="n">
        <v>107.2437924316417</v>
      </c>
      <c r="I130" t="n">
        <v>2</v>
      </c>
      <c r="J130" t="n">
        <v>0</v>
      </c>
    </row>
    <row r="131">
      <c r="A131" t="inlineStr">
        <is>
          <t>PLDO0011</t>
        </is>
      </c>
      <c r="B131" t="inlineStr">
        <is>
          <t>Wrocławska Oczyszczalnia Ścieków</t>
        </is>
      </c>
      <c r="C131" t="n">
        <v>23.392</v>
      </c>
      <c r="D131" t="n">
        <v>26.78976838871622</v>
      </c>
      <c r="E131" t="n">
        <v>1</v>
      </c>
      <c r="F131" t="n">
        <v>1</v>
      </c>
      <c r="G131" t="n">
        <v>3543.596834843262</v>
      </c>
      <c r="H131" t="n">
        <v>132.2742617041742</v>
      </c>
      <c r="I131" t="n">
        <v>0</v>
      </c>
      <c r="J131" t="n">
        <v>0</v>
      </c>
    </row>
    <row r="132">
      <c r="A132" t="inlineStr">
        <is>
          <t>ES9082790004050E</t>
        </is>
      </c>
      <c r="B132" t="inlineStr">
        <is>
          <t>TERRASSA</t>
        </is>
      </c>
      <c r="C132" t="n">
        <v>6.343</v>
      </c>
      <c r="D132" t="n">
        <v>6.966244584051352</v>
      </c>
      <c r="E132" t="n">
        <v>0</v>
      </c>
      <c r="F132" t="n">
        <v>1</v>
      </c>
      <c r="G132" t="n">
        <v>863.7346305723294</v>
      </c>
      <c r="H132" t="n">
        <v>123.9885594240804</v>
      </c>
      <c r="I132" t="n">
        <v>3</v>
      </c>
      <c r="J132" t="n">
        <v>0</v>
      </c>
    </row>
    <row r="133">
      <c r="A133" t="inlineStr">
        <is>
          <t>UKENNW_UU_TP000042</t>
        </is>
      </c>
      <c r="B133" t="inlineStr">
        <is>
          <t>Manchester and Salford (Davyhulme)STW</t>
        </is>
      </c>
      <c r="C133" t="n">
        <v>14.8</v>
      </c>
      <c r="D133" t="n">
        <v>15.36465078838713</v>
      </c>
      <c r="E133" t="n">
        <v>0</v>
      </c>
      <c r="F133" t="n">
        <v>1</v>
      </c>
      <c r="G133" t="n">
        <v>1727.689464059057</v>
      </c>
      <c r="H133" t="n">
        <v>112.4457358552447</v>
      </c>
      <c r="I133" t="n">
        <v>0</v>
      </c>
      <c r="J133" t="n">
        <v>0</v>
      </c>
    </row>
    <row r="134">
      <c r="A134" t="inlineStr">
        <is>
          <t>IT09RT0504</t>
        </is>
      </c>
      <c r="B134" t="inlineStr">
        <is>
          <t>Idi_Aquarno</t>
        </is>
      </c>
      <c r="C134" t="n">
        <v>16.9</v>
      </c>
      <c r="D134" t="n">
        <v>18.84885568524254</v>
      </c>
      <c r="E134" t="n">
        <v>0</v>
      </c>
      <c r="F134" t="n">
        <v>1</v>
      </c>
      <c r="G134" t="n">
        <v>2189.303261221295</v>
      </c>
      <c r="H134" t="n">
        <v>116.1504601542141</v>
      </c>
      <c r="I134" t="n">
        <v>0</v>
      </c>
      <c r="J134" t="n">
        <v>0</v>
      </c>
    </row>
    <row r="135">
      <c r="A135" t="inlineStr">
        <is>
          <t>ES1410910002012E</t>
        </is>
      </c>
      <c r="B135" t="inlineStr">
        <is>
          <t>COPERO</t>
        </is>
      </c>
      <c r="C135" t="n">
        <v>5.07</v>
      </c>
      <c r="D135" t="n">
        <v>4.52085353161739</v>
      </c>
      <c r="E135" t="n">
        <v>0</v>
      </c>
      <c r="F135" t="n">
        <v>1</v>
      </c>
      <c r="G135" t="n">
        <v>482.2985565973365</v>
      </c>
      <c r="H135" t="n">
        <v>106.6830750486155</v>
      </c>
      <c r="I135" t="n">
        <v>0</v>
      </c>
      <c r="J135" t="n">
        <v>0</v>
      </c>
    </row>
    <row r="136">
      <c r="A136" t="inlineStr">
        <is>
          <t>FR025745200219</t>
        </is>
      </c>
      <c r="B136" t="inlineStr">
        <is>
          <t>METZ</t>
        </is>
      </c>
      <c r="C136" t="n">
        <v>1.539</v>
      </c>
      <c r="D136" t="n">
        <v>1.247989898732233</v>
      </c>
      <c r="E136" t="n">
        <v>0</v>
      </c>
      <c r="F136" t="n">
        <v>1</v>
      </c>
      <c r="G136" t="n">
        <v>267.6452878081059</v>
      </c>
      <c r="H136" t="n">
        <v>214.4611010714049</v>
      </c>
      <c r="I136" t="n">
        <v>0</v>
      </c>
      <c r="J136" t="n">
        <v>0</v>
      </c>
    </row>
    <row r="137">
      <c r="A137" t="inlineStr">
        <is>
          <t>FIJVP_O000000000101</t>
        </is>
      </c>
      <c r="B137" t="inlineStr">
        <is>
          <t>TP (101) of Helsingin kt.</t>
        </is>
      </c>
      <c r="C137" t="n">
        <v>4.896</v>
      </c>
      <c r="D137" t="n">
        <v>6.383158005400366</v>
      </c>
      <c r="E137" t="n">
        <v>0</v>
      </c>
      <c r="F137" t="n">
        <v>1</v>
      </c>
      <c r="G137" t="n">
        <v>999.5403927859167</v>
      </c>
      <c r="H137" t="n">
        <v>156.5902633054472</v>
      </c>
      <c r="I137" t="n">
        <v>0</v>
      </c>
      <c r="J137" t="n">
        <v>0</v>
      </c>
    </row>
    <row r="138">
      <c r="A138" t="inlineStr">
        <is>
          <t>ES14300160001030E</t>
        </is>
      </c>
      <c r="B138" t="inlineStr">
        <is>
          <t>CARTAGENA (CABEZO BEAZA)</t>
        </is>
      </c>
      <c r="C138" t="n">
        <v>0.584</v>
      </c>
      <c r="D138" t="n">
        <v>0.0565685424949238</v>
      </c>
      <c r="E138" t="n">
        <v>0</v>
      </c>
      <c r="F138" t="n">
        <v>1</v>
      </c>
      <c r="G138" t="n">
        <v>5.656854249492381</v>
      </c>
      <c r="H138" t="n">
        <v>100</v>
      </c>
      <c r="I138" t="n">
        <v>0</v>
      </c>
      <c r="J138" t="n">
        <v>0</v>
      </c>
    </row>
    <row r="139">
      <c r="A139" t="inlineStr">
        <is>
          <t>IT15Q15000000006</t>
        </is>
      </c>
      <c r="B139" t="inlineStr">
        <is>
          <t>Marcianise_Ce_Depuratore_Di_Marcianise</t>
        </is>
      </c>
      <c r="C139" t="n">
        <v>20.807</v>
      </c>
      <c r="D139" t="n">
        <v>23.4024299962459</v>
      </c>
      <c r="E139" t="n">
        <v>0</v>
      </c>
      <c r="F139" t="n">
        <v>1</v>
      </c>
      <c r="G139" t="n">
        <v>2696.725873521501</v>
      </c>
      <c r="H139" t="n">
        <v>115.2327289924207</v>
      </c>
      <c r="I139" t="n">
        <v>0</v>
      </c>
      <c r="J139" t="n">
        <v>2</v>
      </c>
    </row>
    <row r="140">
      <c r="A140" t="inlineStr">
        <is>
          <t>DETP_BYDON-K0220</t>
        </is>
      </c>
      <c r="B140" t="inlineStr">
        <is>
          <t>Zweckverband Klärwerk Steinhäule</t>
        </is>
      </c>
      <c r="C140" t="n">
        <v>17.019</v>
      </c>
      <c r="D140" t="n">
        <v>18.97069334708319</v>
      </c>
      <c r="E140" t="n">
        <v>1</v>
      </c>
      <c r="F140" t="n">
        <v>1</v>
      </c>
      <c r="G140" t="n">
        <v>2349.097202711128</v>
      </c>
      <c r="H140" t="n">
        <v>123.827693576224</v>
      </c>
      <c r="I140" t="n">
        <v>0</v>
      </c>
      <c r="J140" t="n">
        <v>0</v>
      </c>
    </row>
    <row r="141">
      <c r="A141" t="inlineStr">
        <is>
          <t>UKENNE_YW_TP000082</t>
        </is>
      </c>
      <c r="B141" t="inlineStr">
        <is>
          <t>BRADFORD ESHOLT STW</t>
        </is>
      </c>
      <c r="C141" t="n">
        <v>12.409</v>
      </c>
      <c r="D141" t="n">
        <v>13.63616449178438</v>
      </c>
      <c r="E141" t="n">
        <v>0</v>
      </c>
      <c r="F141" t="n">
        <v>1</v>
      </c>
      <c r="G141" t="n">
        <v>1603.800841222649</v>
      </c>
      <c r="H141" t="n">
        <v>117.6137793137446</v>
      </c>
      <c r="I141" t="n">
        <v>0</v>
      </c>
      <c r="J141" t="n">
        <v>0</v>
      </c>
    </row>
    <row r="142">
      <c r="A142" t="inlineStr">
        <is>
          <t>FR0444109S0011</t>
        </is>
      </c>
      <c r="B142" t="inlineStr">
        <is>
          <t>NANTES 1-TOUGAS</t>
        </is>
      </c>
      <c r="C142" t="n">
        <v>3.179</v>
      </c>
      <c r="D142" t="n">
        <v>4.412031021678303</v>
      </c>
      <c r="E142" t="n">
        <v>1</v>
      </c>
      <c r="F142" t="n">
        <v>1</v>
      </c>
      <c r="G142" t="n">
        <v>1090.9564919454</v>
      </c>
      <c r="H142" t="n">
        <v>247.2685451632224</v>
      </c>
      <c r="I142" t="n">
        <v>0</v>
      </c>
      <c r="J142" t="n">
        <v>0</v>
      </c>
    </row>
    <row r="143">
      <c r="A143" t="inlineStr">
        <is>
          <t>ES7372740002010E</t>
        </is>
      </c>
      <c r="B143" t="inlineStr">
        <is>
          <t>SALAMANCA</t>
        </is>
      </c>
      <c r="C143" t="n">
        <v>2.475</v>
      </c>
      <c r="D143" t="n">
        <v>2.443259018078045</v>
      </c>
      <c r="E143" t="n">
        <v>0</v>
      </c>
      <c r="F143" t="n">
        <v>1</v>
      </c>
      <c r="G143" t="n">
        <v>282.9864136141571</v>
      </c>
      <c r="H143" t="n">
        <v>115.823337403156</v>
      </c>
      <c r="I143" t="n">
        <v>0</v>
      </c>
      <c r="J143" t="n">
        <v>0</v>
      </c>
    </row>
    <row r="144">
      <c r="A144" t="inlineStr">
        <is>
          <t>UKENNW_UU_TP000124</t>
        </is>
      </c>
      <c r="B144" t="inlineStr">
        <is>
          <t>NORTH WARRINGTON   STW</t>
        </is>
      </c>
      <c r="C144" t="n">
        <v>3.767</v>
      </c>
      <c r="D144" t="n">
        <v>3.8304877323528</v>
      </c>
      <c r="E144" t="n">
        <v>0</v>
      </c>
      <c r="F144" t="n">
        <v>1</v>
      </c>
      <c r="G144" t="n">
        <v>620.3162160590025</v>
      </c>
      <c r="H144" t="n">
        <v>161.9418359755419</v>
      </c>
      <c r="I144" t="n">
        <v>0</v>
      </c>
      <c r="J144" t="n">
        <v>0</v>
      </c>
    </row>
    <row r="145">
      <c r="A145" t="inlineStr">
        <is>
          <t>UKENTH_TWU_TP000126</t>
        </is>
      </c>
      <c r="B145" t="inlineStr">
        <is>
          <t>Rye Meads STW</t>
        </is>
      </c>
      <c r="C145" t="n">
        <v>14.928</v>
      </c>
      <c r="D145" t="n">
        <v>15.44825468531917</v>
      </c>
      <c r="E145" t="n">
        <v>0</v>
      </c>
      <c r="F145" t="n">
        <v>1</v>
      </c>
      <c r="G145" t="n">
        <v>1735.062847142164</v>
      </c>
      <c r="H145" t="n">
        <v>112.3144900498717</v>
      </c>
      <c r="I145" t="n">
        <v>1</v>
      </c>
      <c r="J145" t="n">
        <v>0</v>
      </c>
    </row>
    <row r="146">
      <c r="A146" t="inlineStr">
        <is>
          <t>IT15Q15000000004</t>
        </is>
      </c>
      <c r="B146" t="inlineStr">
        <is>
          <t>Marigliano_Na_Depuratore_Di_Nola</t>
        </is>
      </c>
      <c r="C146" t="n">
        <v>6.174</v>
      </c>
      <c r="D146" t="n">
        <v>9.08778787337687</v>
      </c>
      <c r="E146" t="n">
        <v>1</v>
      </c>
      <c r="F146" t="n">
        <v>1</v>
      </c>
      <c r="G146" t="n">
        <v>1382.663803608104</v>
      </c>
      <c r="H146" t="n">
        <v>152.1452550250085</v>
      </c>
      <c r="I146" t="n">
        <v>0</v>
      </c>
      <c r="J146" t="n">
        <v>0</v>
      </c>
    </row>
    <row r="147">
      <c r="A147" t="inlineStr">
        <is>
          <t>DETP_BYN-K0002</t>
        </is>
      </c>
      <c r="B147" t="inlineStr">
        <is>
          <t>Erlangen</t>
        </is>
      </c>
      <c r="C147" t="n">
        <v>10.309</v>
      </c>
      <c r="D147" t="n">
        <v>12.18021428024812</v>
      </c>
      <c r="E147" t="n">
        <v>1</v>
      </c>
      <c r="F147" t="n">
        <v>1</v>
      </c>
      <c r="G147" t="n">
        <v>2095.649310619113</v>
      </c>
      <c r="H147" t="n">
        <v>172.0535667436897</v>
      </c>
      <c r="I147" t="n">
        <v>0</v>
      </c>
      <c r="J147" t="n">
        <v>0</v>
      </c>
    </row>
    <row r="148">
      <c r="A148" t="inlineStr">
        <is>
          <t>IT09RT0506</t>
        </is>
      </c>
      <c r="B148" t="inlineStr">
        <is>
          <t>Idi_Cuoio_Depur</t>
        </is>
      </c>
      <c r="C148" t="n">
        <v>12.699</v>
      </c>
      <c r="D148" t="n">
        <v>14.03469262920817</v>
      </c>
      <c r="E148" t="n">
        <v>0</v>
      </c>
      <c r="F148" t="n">
        <v>1</v>
      </c>
      <c r="G148" t="n">
        <v>1574.208363484436</v>
      </c>
      <c r="H148" t="n">
        <v>112.1655033761329</v>
      </c>
      <c r="I148" t="n">
        <v>0</v>
      </c>
      <c r="J148" t="n">
        <v>0</v>
      </c>
    </row>
    <row r="149">
      <c r="A149" t="inlineStr">
        <is>
          <t>ES1410700001010E</t>
        </is>
      </c>
      <c r="B149" t="inlineStr">
        <is>
          <t>PALOMARES</t>
        </is>
      </c>
      <c r="C149" t="n">
        <v>2.738</v>
      </c>
      <c r="D149" t="n">
        <v>2.400904037956225</v>
      </c>
      <c r="E149" t="n">
        <v>0</v>
      </c>
      <c r="F149" t="n">
        <v>1</v>
      </c>
      <c r="G149" t="n">
        <v>270.3732464912381</v>
      </c>
      <c r="H149" t="n">
        <v>112.6130999893665</v>
      </c>
      <c r="I149" t="n">
        <v>0</v>
      </c>
      <c r="J149" t="n">
        <v>0</v>
      </c>
    </row>
    <row r="150">
      <c r="A150" t="inlineStr">
        <is>
          <t>DETP_ST153581000001</t>
        </is>
      </c>
      <c r="B150" t="inlineStr">
        <is>
          <t>MD-Gerwisch</t>
        </is>
      </c>
      <c r="C150" t="n">
        <v>12.189</v>
      </c>
      <c r="D150" t="n">
        <v>15.74202235616068</v>
      </c>
      <c r="E150" t="n">
        <v>1</v>
      </c>
      <c r="F150" t="n">
        <v>1</v>
      </c>
      <c r="G150" t="n">
        <v>2922.827552325682</v>
      </c>
      <c r="H150" t="n">
        <v>185.6703977543156</v>
      </c>
      <c r="I150" t="n">
        <v>0</v>
      </c>
      <c r="J150" t="n">
        <v>0</v>
      </c>
    </row>
    <row r="151">
      <c r="A151" t="inlineStr">
        <is>
          <t>RO3AG_51</t>
        </is>
      </c>
      <c r="B151" t="inlineStr">
        <is>
          <t>ROWP SC APA CANAL 2000 S.A. PITESTI</t>
        </is>
      </c>
      <c r="C151" t="n">
        <v>13.591</v>
      </c>
      <c r="D151" t="n">
        <v>14.16185858225128</v>
      </c>
      <c r="E151" t="n">
        <v>0</v>
      </c>
      <c r="F151" t="n">
        <v>1</v>
      </c>
      <c r="G151" t="n">
        <v>1505.540186366662</v>
      </c>
      <c r="H151" t="n">
        <v>106.3095057490208</v>
      </c>
      <c r="I151" t="n">
        <v>0</v>
      </c>
      <c r="J151" t="n">
        <v>0</v>
      </c>
    </row>
    <row r="152">
      <c r="A152" t="inlineStr">
        <is>
          <t>IT06000000000098</t>
        </is>
      </c>
      <c r="B152" t="inlineStr">
        <is>
          <t>San_Giorgio_Di_Nogaro</t>
        </is>
      </c>
      <c r="C152" t="n">
        <v>23.142</v>
      </c>
      <c r="D152" t="n">
        <v>25.34802307403512</v>
      </c>
      <c r="E152" t="n">
        <v>0</v>
      </c>
      <c r="F152" t="n">
        <v>1</v>
      </c>
      <c r="G152" t="n">
        <v>2841.372905615715</v>
      </c>
      <c r="H152" t="n">
        <v>112.0944579116402</v>
      </c>
      <c r="I152" t="n">
        <v>7</v>
      </c>
      <c r="J152" t="n">
        <v>0</v>
      </c>
    </row>
    <row r="153">
      <c r="A153" t="inlineStr">
        <is>
          <t>IT12000000000311</t>
        </is>
      </c>
      <c r="B153" t="inlineStr">
        <is>
          <t>ROMA_NORD</t>
        </is>
      </c>
      <c r="C153" t="n">
        <v>26.417</v>
      </c>
      <c r="D153" t="n">
        <v>29.59975105768014</v>
      </c>
      <c r="E153" t="n">
        <v>0</v>
      </c>
      <c r="F153" t="n">
        <v>1</v>
      </c>
      <c r="G153" t="n">
        <v>3382.382661278025</v>
      </c>
      <c r="H153" t="n">
        <v>114.2706455431628</v>
      </c>
      <c r="I153" t="n">
        <v>1</v>
      </c>
      <c r="J153" t="n">
        <v>0</v>
      </c>
    </row>
    <row r="154">
      <c r="A154" t="inlineStr">
        <is>
          <t>DETP_ST152021000001</t>
        </is>
      </c>
      <c r="B154" t="inlineStr">
        <is>
          <t>Halle-Nord</t>
        </is>
      </c>
      <c r="C154" t="n">
        <v>6.69</v>
      </c>
      <c r="D154" t="n">
        <v>7.38457936163767</v>
      </c>
      <c r="E154" t="n">
        <v>1</v>
      </c>
      <c r="F154" t="n">
        <v>1</v>
      </c>
      <c r="G154" t="n">
        <v>963.1844596552799</v>
      </c>
      <c r="H154" t="n">
        <v>130.4318651728425</v>
      </c>
      <c r="I154" t="n">
        <v>0</v>
      </c>
      <c r="J154" t="n">
        <v>0</v>
      </c>
    </row>
    <row r="155">
      <c r="A155" t="inlineStr">
        <is>
          <t>HRUWWTP_0001116_001</t>
        </is>
      </c>
      <c r="B155" t="inlineStr">
        <is>
          <t>Rijeka-Delta</t>
        </is>
      </c>
      <c r="C155" t="n">
        <v>1.534</v>
      </c>
      <c r="D155" t="n">
        <v>1.509827560572971</v>
      </c>
      <c r="E155" t="n">
        <v>0</v>
      </c>
      <c r="F155" t="n">
        <v>1</v>
      </c>
      <c r="G155" t="n">
        <v>444.1934341759519</v>
      </c>
      <c r="H155" t="n">
        <v>294.2014345051319</v>
      </c>
      <c r="I155" t="n">
        <v>0</v>
      </c>
      <c r="J155" t="n">
        <v>0</v>
      </c>
    </row>
    <row r="156">
      <c r="A156" t="inlineStr">
        <is>
          <t>FR025435700075</t>
        </is>
      </c>
      <c r="B156" t="inlineStr">
        <is>
          <t>MAXEVILLE</t>
        </is>
      </c>
      <c r="C156" t="n">
        <v>7.372</v>
      </c>
      <c r="D156" t="n">
        <v>8.779503602129429</v>
      </c>
      <c r="E156" t="n">
        <v>0</v>
      </c>
      <c r="F156" t="n">
        <v>1</v>
      </c>
      <c r="G156" t="n">
        <v>1057.52327303907</v>
      </c>
      <c r="H156" t="n">
        <v>120.4536521612193</v>
      </c>
      <c r="I156" t="n">
        <v>0</v>
      </c>
      <c r="J156" t="n">
        <v>0</v>
      </c>
    </row>
    <row r="157">
      <c r="A157" t="inlineStr">
        <is>
          <t>IT15Q90000003627</t>
        </is>
      </c>
      <c r="B157" t="inlineStr">
        <is>
          <t>Salerno_Impianto_Salerno</t>
        </is>
      </c>
      <c r="C157" t="n">
        <v>23.503</v>
      </c>
      <c r="D157" t="n">
        <v>26.53334269971993</v>
      </c>
      <c r="E157" t="n">
        <v>1</v>
      </c>
      <c r="F157" t="n">
        <v>1</v>
      </c>
      <c r="G157" t="n">
        <v>4162.183549118038</v>
      </c>
      <c r="H157" t="n">
        <v>156.866158788277</v>
      </c>
      <c r="I157" t="n">
        <v>2</v>
      </c>
      <c r="J157" t="n">
        <v>0</v>
      </c>
    </row>
    <row r="158">
      <c r="A158" t="inlineStr">
        <is>
          <t>IT12000000000304</t>
        </is>
      </c>
      <c r="B158" t="inlineStr">
        <is>
          <t>ROMA_EST</t>
        </is>
      </c>
      <c r="C158" t="n">
        <v>27.783</v>
      </c>
      <c r="D158" t="n">
        <v>31.53267386242228</v>
      </c>
      <c r="E158" t="n">
        <v>1</v>
      </c>
      <c r="F158" t="n">
        <v>1</v>
      </c>
      <c r="G158" t="n">
        <v>3829.143384136844</v>
      </c>
      <c r="H158" t="n">
        <v>121.434147983881</v>
      </c>
      <c r="I158" t="n">
        <v>2</v>
      </c>
      <c r="J158" t="n">
        <v>0</v>
      </c>
    </row>
    <row r="159">
      <c r="A159" t="inlineStr">
        <is>
          <t>UKENAN_AW_TP000069</t>
        </is>
      </c>
      <c r="B159" t="inlineStr">
        <is>
          <t>MILTON KEYNES   STW</t>
        </is>
      </c>
      <c r="C159" t="n">
        <v>11.105</v>
      </c>
      <c r="D159" t="n">
        <v>11.50238815542518</v>
      </c>
      <c r="E159" t="n">
        <v>0</v>
      </c>
      <c r="F159" t="n">
        <v>1</v>
      </c>
      <c r="G159" t="n">
        <v>1283.786246206924</v>
      </c>
      <c r="H159" t="n">
        <v>111.6104089741936</v>
      </c>
      <c r="I159" t="n">
        <v>0</v>
      </c>
      <c r="J159" t="n">
        <v>0</v>
      </c>
    </row>
    <row r="160">
      <c r="A160" t="inlineStr">
        <is>
          <t>DETP_BW1175100000062</t>
        </is>
      </c>
      <c r="B160" t="inlineStr">
        <is>
          <t>Göppingen</t>
        </is>
      </c>
      <c r="C160" t="n">
        <v>4.504</v>
      </c>
      <c r="D160" t="n">
        <v>4.467350647362947</v>
      </c>
      <c r="E160" t="n">
        <v>0</v>
      </c>
      <c r="F160" t="n">
        <v>1</v>
      </c>
      <c r="G160" t="n">
        <v>565.9791333400622</v>
      </c>
      <c r="H160" t="n">
        <v>126.6923458704001</v>
      </c>
      <c r="I160" t="n">
        <v>0</v>
      </c>
      <c r="J160" t="n">
        <v>0</v>
      </c>
    </row>
    <row r="161">
      <c r="A161" t="inlineStr">
        <is>
          <t>DETP_NI253014201</t>
        </is>
      </c>
      <c r="B161" t="inlineStr">
        <is>
          <t>2530142095 KA Gümmerwald</t>
        </is>
      </c>
      <c r="C161" t="n">
        <v>18.457</v>
      </c>
      <c r="D161" t="n">
        <v>21.50287588777766</v>
      </c>
      <c r="E161" t="n">
        <v>1</v>
      </c>
      <c r="F161" t="n">
        <v>1</v>
      </c>
      <c r="G161" t="n">
        <v>2921.264923129878</v>
      </c>
      <c r="H161" t="n">
        <v>135.8546149071315</v>
      </c>
      <c r="I161" t="n">
        <v>0</v>
      </c>
      <c r="J161" t="n">
        <v>0</v>
      </c>
    </row>
    <row r="162">
      <c r="A162" t="inlineStr">
        <is>
          <t>SI_KCN_00098</t>
        </is>
      </c>
      <c r="B162" t="inlineStr">
        <is>
          <t>UWWTP_LJUBLJANA (ZALOG)</t>
        </is>
      </c>
      <c r="C162" t="n">
        <v>9.432</v>
      </c>
      <c r="D162" t="n">
        <v>10.12643794388891</v>
      </c>
      <c r="E162" t="n">
        <v>1</v>
      </c>
      <c r="F162" t="n">
        <v>1</v>
      </c>
      <c r="G162" t="n">
        <v>1324.565027051089</v>
      </c>
      <c r="H162" t="n">
        <v>130.8026607569778</v>
      </c>
      <c r="I162" t="n">
        <v>0</v>
      </c>
      <c r="J162" t="n">
        <v>0</v>
      </c>
    </row>
    <row r="163">
      <c r="A163" t="inlineStr">
        <is>
          <t>IT03160128000384</t>
        </is>
      </c>
      <c r="B163" t="inlineStr">
        <is>
          <t>Dp01209001_Lonate_Pozzolo</t>
        </is>
      </c>
      <c r="C163" t="n">
        <v>12.744</v>
      </c>
      <c r="D163" t="n">
        <v>15.61638743755017</v>
      </c>
      <c r="E163" t="n">
        <v>1</v>
      </c>
      <c r="F163" t="n">
        <v>1</v>
      </c>
      <c r="G163" t="n">
        <v>2813.666264686871</v>
      </c>
      <c r="H163" t="n">
        <v>180.1739535432701</v>
      </c>
      <c r="I163" t="n">
        <v>0</v>
      </c>
      <c r="J163" t="n">
        <v>0</v>
      </c>
    </row>
    <row r="164">
      <c r="A164" t="inlineStr">
        <is>
          <t>FR0472181S0016</t>
        </is>
      </c>
      <c r="B164" t="inlineStr">
        <is>
          <t>LMM_LE MANS - LA CHAUVINIÈRE</t>
        </is>
      </c>
      <c r="C164" t="n">
        <v>10.525</v>
      </c>
      <c r="D164" t="n">
        <v>11.99589970519735</v>
      </c>
      <c r="E164" t="n">
        <v>0</v>
      </c>
      <c r="F164" t="n">
        <v>1</v>
      </c>
      <c r="G164" t="n">
        <v>1346.512422648525</v>
      </c>
      <c r="H164" t="n">
        <v>112.2477226168483</v>
      </c>
      <c r="I164" t="n">
        <v>0</v>
      </c>
      <c r="J164" t="n">
        <v>0</v>
      </c>
    </row>
    <row r="165">
      <c r="A165" t="inlineStr">
        <is>
          <t>ES10461100001010E</t>
        </is>
      </c>
      <c r="B165" t="inlineStr">
        <is>
          <t>QUART - BENAGER</t>
        </is>
      </c>
      <c r="C165" t="n">
        <v>13.384</v>
      </c>
      <c r="D165" t="n">
        <v>15.48231672867591</v>
      </c>
      <c r="E165" t="n">
        <v>0</v>
      </c>
      <c r="F165" t="n">
        <v>1</v>
      </c>
      <c r="G165" t="n">
        <v>1690.563252028568</v>
      </c>
      <c r="H165" t="n">
        <v>109.1931706123382</v>
      </c>
      <c r="I165" t="n">
        <v>0</v>
      </c>
      <c r="J165" t="n">
        <v>0</v>
      </c>
    </row>
    <row r="166">
      <c r="A166" t="inlineStr">
        <is>
          <t>DETP_BW3165100000008</t>
        </is>
      </c>
      <c r="B166" t="inlineStr">
        <is>
          <t>SKA AZV BREISGAUER BUCHT - KA FORCHHEIM</t>
        </is>
      </c>
      <c r="C166" t="n">
        <v>1.516</v>
      </c>
      <c r="D166" t="n">
        <v>1.462375900532362</v>
      </c>
      <c r="E166" t="n">
        <v>1</v>
      </c>
      <c r="F166" t="n">
        <v>1</v>
      </c>
      <c r="G166" t="n">
        <v>1116.36161518249</v>
      </c>
      <c r="H166" t="n">
        <v>763.3889581851633</v>
      </c>
      <c r="I166" t="n">
        <v>0</v>
      </c>
      <c r="J166" t="n">
        <v>0</v>
      </c>
    </row>
    <row r="167">
      <c r="A167" t="inlineStr">
        <is>
          <t>FR060969199001</t>
        </is>
      </c>
      <c r="B167" t="inlineStr">
        <is>
          <t>LYON - SAINT FONS</t>
        </is>
      </c>
      <c r="C167" t="n">
        <v>13.849</v>
      </c>
      <c r="D167" t="n">
        <v>15.73118974495372</v>
      </c>
      <c r="E167" t="n">
        <v>0</v>
      </c>
      <c r="F167" t="n">
        <v>1</v>
      </c>
      <c r="G167" t="n">
        <v>1857.49302087441</v>
      </c>
      <c r="H167" t="n">
        <v>118.0770845047025</v>
      </c>
      <c r="I167" t="n">
        <v>0</v>
      </c>
      <c r="J167" t="n">
        <v>0</v>
      </c>
    </row>
    <row r="168">
      <c r="A168" t="inlineStr">
        <is>
          <t>ES8130050002010E</t>
        </is>
      </c>
      <c r="B168" t="inlineStr">
        <is>
          <t>ALCAZAR DE SAN JUAN-CAMPO DE CRIPTANA</t>
        </is>
      </c>
      <c r="C168" t="n">
        <v>1.185</v>
      </c>
      <c r="D168" t="n">
        <v>1.415096679918782</v>
      </c>
      <c r="E168" t="n">
        <v>0</v>
      </c>
      <c r="F168" t="n">
        <v>1</v>
      </c>
      <c r="G168" t="n">
        <v>204.249573329125</v>
      </c>
      <c r="H168" t="n">
        <v>144.3361264481573</v>
      </c>
      <c r="I168" t="n">
        <v>0</v>
      </c>
      <c r="J168" t="n">
        <v>0</v>
      </c>
    </row>
    <row r="169">
      <c r="A169" t="inlineStr">
        <is>
          <t>ES3330441901011E</t>
        </is>
      </c>
      <c r="B169" t="inlineStr">
        <is>
          <t>VILLAPEREZ</t>
        </is>
      </c>
      <c r="C169" t="n">
        <v>2.66</v>
      </c>
      <c r="D169" t="n">
        <v>2.986934341759522</v>
      </c>
      <c r="E169" t="n">
        <v>0</v>
      </c>
      <c r="F169" t="n">
        <v>1</v>
      </c>
      <c r="G169" t="n">
        <v>412.0928423422674</v>
      </c>
      <c r="H169" t="n">
        <v>137.9651492772736</v>
      </c>
      <c r="I169" t="n">
        <v>0</v>
      </c>
      <c r="J169" t="n">
        <v>0</v>
      </c>
    </row>
    <row r="170">
      <c r="A170" t="inlineStr">
        <is>
          <t>ES17260890002010E</t>
        </is>
      </c>
      <c r="B170" t="inlineStr">
        <is>
          <t>LOGROÑO</t>
        </is>
      </c>
      <c r="C170" t="n">
        <v>0.209</v>
      </c>
      <c r="D170" t="n">
        <v>0.3345584412271571</v>
      </c>
      <c r="E170" t="n">
        <v>0</v>
      </c>
      <c r="F170" t="n">
        <v>1</v>
      </c>
      <c r="G170" t="n">
        <v>62.15067048761131</v>
      </c>
      <c r="H170" t="n">
        <v>185.7692493414402</v>
      </c>
      <c r="I170" t="n">
        <v>0</v>
      </c>
      <c r="J170" t="n">
        <v>0</v>
      </c>
    </row>
    <row r="171">
      <c r="A171" t="inlineStr">
        <is>
          <t>IETP_D0033</t>
        </is>
      </c>
      <c r="B171" t="inlineStr">
        <is>
          <t>Cork city</t>
        </is>
      </c>
      <c r="C171" t="n">
        <v>5.635</v>
      </c>
      <c r="D171" t="n">
        <v>6.484945160902256</v>
      </c>
      <c r="E171" t="n">
        <v>0</v>
      </c>
      <c r="F171" t="n">
        <v>1</v>
      </c>
      <c r="G171" t="n">
        <v>846.2154522838263</v>
      </c>
      <c r="H171" t="n">
        <v>130.4892225435707</v>
      </c>
      <c r="I171" t="n">
        <v>0</v>
      </c>
      <c r="J171" t="n">
        <v>0</v>
      </c>
    </row>
    <row r="172">
      <c r="A172" t="inlineStr">
        <is>
          <t>FR060921231001</t>
        </is>
      </c>
      <c r="B172" t="inlineStr">
        <is>
          <t>DIJON</t>
        </is>
      </c>
      <c r="C172" t="n">
        <v>8.595000000000001</v>
      </c>
      <c r="D172" t="n">
        <v>8.952884553295666</v>
      </c>
      <c r="E172" t="n">
        <v>0</v>
      </c>
      <c r="F172" t="n">
        <v>1</v>
      </c>
      <c r="G172" t="n">
        <v>991.3623790445633</v>
      </c>
      <c r="H172" t="n">
        <v>110.7310580342099</v>
      </c>
      <c r="I172" t="n">
        <v>0</v>
      </c>
      <c r="J172" t="n">
        <v>0</v>
      </c>
    </row>
    <row r="173">
      <c r="A173" t="inlineStr">
        <is>
          <t>UKENMI_ST_TP000068</t>
        </is>
      </c>
      <c r="B173" t="inlineStr">
        <is>
          <t>COVENTRY  STW</t>
        </is>
      </c>
      <c r="C173" t="n">
        <v>11.976</v>
      </c>
      <c r="D173" t="n">
        <v>12.64416305603428</v>
      </c>
      <c r="E173" t="n">
        <v>0</v>
      </c>
      <c r="F173" t="n">
        <v>1</v>
      </c>
      <c r="G173" t="n">
        <v>1367.091240239602</v>
      </c>
      <c r="H173" t="n">
        <v>108.1203424996306</v>
      </c>
      <c r="I173" t="n">
        <v>0</v>
      </c>
      <c r="J173" t="n">
        <v>0</v>
      </c>
    </row>
    <row r="174">
      <c r="A174" t="inlineStr">
        <is>
          <t>UKENAN_AW_TP000107</t>
        </is>
      </c>
      <c r="B174" t="inlineStr">
        <is>
          <t>NORTHAMPTON   STW</t>
        </is>
      </c>
      <c r="C174" t="n">
        <v>4.832</v>
      </c>
      <c r="D174" t="n">
        <v>5.011909088590093</v>
      </c>
      <c r="E174" t="n">
        <v>0</v>
      </c>
      <c r="F174" t="n">
        <v>1</v>
      </c>
      <c r="G174" t="n">
        <v>549.9756848088441</v>
      </c>
      <c r="H174" t="n">
        <v>109.7337711214468</v>
      </c>
      <c r="I174" t="n">
        <v>0</v>
      </c>
      <c r="J174" t="n">
        <v>0</v>
      </c>
    </row>
    <row r="175">
      <c r="A175" t="inlineStr">
        <is>
          <t>DETP_NW608</t>
        </is>
      </c>
      <c r="B175" t="inlineStr">
        <is>
          <t>Wuppertal-Buchenhofen</t>
        </is>
      </c>
      <c r="C175" t="n">
        <v>12.558</v>
      </c>
      <c r="D175" t="n">
        <v>14.42954544295062</v>
      </c>
      <c r="E175" t="n">
        <v>1</v>
      </c>
      <c r="F175" t="n">
        <v>1</v>
      </c>
      <c r="G175" t="n">
        <v>3083.781788802594</v>
      </c>
      <c r="H175" t="n">
        <v>213.7130238090166</v>
      </c>
      <c r="I175" t="n">
        <v>0</v>
      </c>
      <c r="J175" t="n">
        <v>0</v>
      </c>
    </row>
    <row r="176">
      <c r="A176" t="inlineStr">
        <is>
          <t>PT5000519</t>
        </is>
      </c>
      <c r="B176" t="inlineStr">
        <is>
          <t>Matosinhos</t>
        </is>
      </c>
      <c r="C176" t="n">
        <v>2.588</v>
      </c>
      <c r="D176" t="n">
        <v>3.003086578651019</v>
      </c>
      <c r="E176" t="n">
        <v>0</v>
      </c>
      <c r="F176" t="n">
        <v>1</v>
      </c>
      <c r="G176" t="n">
        <v>547.8919186034703</v>
      </c>
      <c r="H176" t="n">
        <v>182.4429313821456</v>
      </c>
      <c r="I176" t="n">
        <v>0</v>
      </c>
      <c r="J176" t="n">
        <v>0</v>
      </c>
    </row>
    <row r="177">
      <c r="A177" t="inlineStr">
        <is>
          <t>PT20501079</t>
        </is>
      </c>
      <c r="B177" t="inlineStr">
        <is>
          <t>Rib. de Moinhos</t>
        </is>
      </c>
      <c r="C177" t="n">
        <v>1.41</v>
      </c>
      <c r="D177" t="n">
        <v>2.23124891681028</v>
      </c>
      <c r="E177" t="n">
        <v>1</v>
      </c>
      <c r="F177" t="n">
        <v>1</v>
      </c>
      <c r="G177" t="n">
        <v>596.1057497307378</v>
      </c>
      <c r="H177" t="n">
        <v>267.1623704731747</v>
      </c>
      <c r="I177" t="n">
        <v>0</v>
      </c>
      <c r="J177" t="n">
        <v>0</v>
      </c>
    </row>
    <row r="178">
      <c r="A178" t="inlineStr">
        <is>
          <t>ES13280790001013E</t>
        </is>
      </c>
      <c r="B178" t="inlineStr">
        <is>
          <t>BUTARQUE</t>
        </is>
      </c>
      <c r="C178" t="n">
        <v>46.013</v>
      </c>
      <c r="D178" t="n">
        <v>52.39100864000912</v>
      </c>
      <c r="E178" t="n">
        <v>1</v>
      </c>
      <c r="F178" t="n">
        <v>1</v>
      </c>
      <c r="G178" t="n">
        <v>7962.785418998449</v>
      </c>
      <c r="H178" t="n">
        <v>151.9876334833065</v>
      </c>
      <c r="I178" t="n">
        <v>1</v>
      </c>
      <c r="J178" t="n">
        <v>0</v>
      </c>
    </row>
    <row r="179">
      <c r="A179" t="inlineStr">
        <is>
          <t>ES1140210009010E</t>
        </is>
      </c>
      <c r="B179" t="inlineStr">
        <is>
          <t>LA GOLONDRINA</t>
        </is>
      </c>
      <c r="C179" t="n">
        <v>7.146</v>
      </c>
      <c r="D179" t="n">
        <v>10.20867099092263</v>
      </c>
      <c r="E179" t="n">
        <v>1</v>
      </c>
      <c r="F179" t="n">
        <v>1</v>
      </c>
      <c r="G179" t="n">
        <v>1147.144681110836</v>
      </c>
      <c r="H179" t="n">
        <v>112.3696397044099</v>
      </c>
      <c r="I179" t="n">
        <v>0</v>
      </c>
      <c r="J179" t="n">
        <v>0</v>
      </c>
    </row>
    <row r="180">
      <c r="A180" t="inlineStr">
        <is>
          <t>FR0533039V005</t>
        </is>
      </c>
      <c r="B180" t="inlineStr">
        <is>
          <t>BEGLES (CLOS DE HILDE)</t>
        </is>
      </c>
      <c r="C180" t="n">
        <v>15.432</v>
      </c>
      <c r="D180" t="n">
        <v>16.6159119600903</v>
      </c>
      <c r="E180" t="n">
        <v>1</v>
      </c>
      <c r="F180" t="n">
        <v>1</v>
      </c>
      <c r="G180" t="n">
        <v>2591.63590777874</v>
      </c>
      <c r="H180" t="n">
        <v>155.9731367139872</v>
      </c>
      <c r="I180" t="n">
        <v>0</v>
      </c>
      <c r="J180" t="n">
        <v>0</v>
      </c>
    </row>
    <row r="181">
      <c r="A181" t="inlineStr">
        <is>
          <t>PT18075792</t>
        </is>
      </c>
      <c r="B181" t="inlineStr">
        <is>
          <t>Agra I e II</t>
        </is>
      </c>
      <c r="C181" t="n">
        <v>13.491</v>
      </c>
      <c r="D181" t="n">
        <v>14.01707719525828</v>
      </c>
      <c r="E181" t="n">
        <v>0</v>
      </c>
      <c r="F181" t="n">
        <v>1</v>
      </c>
      <c r="G181" t="n">
        <v>1721.662966704228</v>
      </c>
      <c r="H181" t="n">
        <v>122.8261029543759</v>
      </c>
      <c r="I181" t="n">
        <v>0</v>
      </c>
      <c r="J181" t="n">
        <v>0</v>
      </c>
    </row>
    <row r="182">
      <c r="A182" t="inlineStr">
        <is>
          <t>DETP_BE02</t>
        </is>
      </c>
      <c r="B182" t="inlineStr">
        <is>
          <t>Schönerlinde</t>
        </is>
      </c>
      <c r="C182" t="n">
        <v>24.741</v>
      </c>
      <c r="D182" t="n">
        <v>28.89629867976494</v>
      </c>
      <c r="E182" t="n">
        <v>1</v>
      </c>
      <c r="F182" t="n">
        <v>1</v>
      </c>
      <c r="G182" t="n">
        <v>4398.829643068627</v>
      </c>
      <c r="H182" t="n">
        <v>152.2281345378317</v>
      </c>
      <c r="I182" t="n">
        <v>0</v>
      </c>
      <c r="J182" t="n">
        <v>0</v>
      </c>
    </row>
    <row r="183">
      <c r="A183" t="inlineStr">
        <is>
          <t>UKENMI_ST_TP000156</t>
        </is>
      </c>
      <c r="B183" t="inlineStr">
        <is>
          <t>BIRMINGHAM &amp; BLACK COUNTRY NO. 1 (MINWORTH) STW</t>
        </is>
      </c>
      <c r="C183" t="n">
        <v>35.062</v>
      </c>
      <c r="D183" t="n">
        <v>38.46438959117558</v>
      </c>
      <c r="E183" t="n">
        <v>0</v>
      </c>
      <c r="F183" t="n">
        <v>1</v>
      </c>
      <c r="G183" t="n">
        <v>4426.156391215055</v>
      </c>
      <c r="H183" t="n">
        <v>115.0715359910585</v>
      </c>
      <c r="I183" t="n">
        <v>0</v>
      </c>
      <c r="J183" t="n">
        <v>0</v>
      </c>
    </row>
    <row r="184">
      <c r="A184" t="inlineStr">
        <is>
          <t>EL300026013</t>
        </is>
      </c>
      <c r="B184" t="inlineStr">
        <is>
          <t>METAMORPHOSI</t>
        </is>
      </c>
      <c r="C184" t="n">
        <v>8.516999999999999</v>
      </c>
      <c r="D184" t="n">
        <v>9.546660889654824</v>
      </c>
      <c r="E184" t="n">
        <v>1</v>
      </c>
      <c r="F184" t="n">
        <v>1</v>
      </c>
      <c r="G184" t="n">
        <v>1502.806150103466</v>
      </c>
      <c r="H184" t="n">
        <v>157.4169405903977</v>
      </c>
      <c r="I184" t="n">
        <v>0</v>
      </c>
      <c r="J184" t="n">
        <v>0</v>
      </c>
    </row>
    <row r="185">
      <c r="A185" t="inlineStr">
        <is>
          <t>UKENNW_UU_TP000018</t>
        </is>
      </c>
      <c r="B185" t="inlineStr">
        <is>
          <t>BLACKBURN STW</t>
        </is>
      </c>
      <c r="C185" t="n">
        <v>7.053</v>
      </c>
      <c r="D185" t="n">
        <v>8.065533905932691</v>
      </c>
      <c r="E185" t="n">
        <v>0</v>
      </c>
      <c r="F185" t="n">
        <v>1</v>
      </c>
      <c r="G185" t="n">
        <v>955.8074225429384</v>
      </c>
      <c r="H185" t="n">
        <v>118.5051645297633</v>
      </c>
      <c r="I185" t="n">
        <v>0</v>
      </c>
      <c r="J185" t="n">
        <v>0</v>
      </c>
    </row>
    <row r="186">
      <c r="A186" t="inlineStr">
        <is>
          <t>FRCH0000101160</t>
        </is>
      </c>
      <c r="B186" t="inlineStr">
        <is>
          <t>FERNEY-VOLTAIRE - AIRE 2</t>
        </is>
      </c>
      <c r="C186" t="n">
        <v>72.45099999999999</v>
      </c>
      <c r="D186" t="n">
        <v>85.22564568673536</v>
      </c>
      <c r="E186" t="n">
        <v>1</v>
      </c>
      <c r="F186" t="n">
        <v>1</v>
      </c>
      <c r="G186" t="n">
        <v>12390.81281844628</v>
      </c>
      <c r="H186" t="n">
        <v>145.388312621195</v>
      </c>
      <c r="I186" t="n">
        <v>0</v>
      </c>
      <c r="J186" t="n">
        <v>0</v>
      </c>
    </row>
    <row r="187">
      <c r="A187" t="inlineStr">
        <is>
          <t>ES6390060001010E</t>
        </is>
      </c>
      <c r="B187" t="inlineStr">
        <is>
          <t>SAN PANTALEON</t>
        </is>
      </c>
      <c r="C187" t="n">
        <v>5.548</v>
      </c>
      <c r="D187" t="n">
        <v>6.313107499061543</v>
      </c>
      <c r="E187" t="n">
        <v>0</v>
      </c>
      <c r="F187" t="n">
        <v>1</v>
      </c>
      <c r="G187" t="n">
        <v>792.0321862714422</v>
      </c>
      <c r="H187" t="n">
        <v>125.4583715530235</v>
      </c>
      <c r="I187" t="n">
        <v>0</v>
      </c>
      <c r="J187" t="n">
        <v>0</v>
      </c>
    </row>
    <row r="188">
      <c r="A188" t="inlineStr">
        <is>
          <t>ES10030650002001E</t>
        </is>
      </c>
      <c r="B188" t="inlineStr">
        <is>
          <t>ELX - ALGOROS</t>
        </is>
      </c>
      <c r="C188" t="n">
        <v>7.11</v>
      </c>
      <c r="D188" t="n">
        <v>7.678986283848287</v>
      </c>
      <c r="E188" t="n">
        <v>0</v>
      </c>
      <c r="F188" t="n">
        <v>1</v>
      </c>
      <c r="G188" t="n">
        <v>922.6497173588182</v>
      </c>
      <c r="H188" t="n">
        <v>120.1525413972268</v>
      </c>
      <c r="I188" t="n">
        <v>0</v>
      </c>
      <c r="J188" t="n">
        <v>0</v>
      </c>
    </row>
    <row r="189">
      <c r="A189" t="inlineStr">
        <is>
          <t>IT15Q15000000008</t>
        </is>
      </c>
      <c r="B189" t="inlineStr">
        <is>
          <t>Pozzuoli_Na_Impianto_Napoli_Ovest_Cuma</t>
        </is>
      </c>
      <c r="C189" t="n">
        <v>40.334</v>
      </c>
      <c r="D189" t="n">
        <v>46.99410747355307</v>
      </c>
      <c r="E189" t="n">
        <v>1</v>
      </c>
      <c r="F189" t="n">
        <v>1</v>
      </c>
      <c r="G189" t="n">
        <v>5508.773258654264</v>
      </c>
      <c r="H189" t="n">
        <v>117.2226382159602</v>
      </c>
      <c r="I189" t="n">
        <v>0</v>
      </c>
      <c r="J189" t="n">
        <v>0</v>
      </c>
    </row>
    <row r="190">
      <c r="A190" t="inlineStr">
        <is>
          <t>ES13280790001011E</t>
        </is>
      </c>
      <c r="B190" t="inlineStr">
        <is>
          <t>SUR</t>
        </is>
      </c>
      <c r="C190" t="n">
        <v>42.319</v>
      </c>
      <c r="D190" t="n">
        <v>45.6385108063887</v>
      </c>
      <c r="E190" t="n">
        <v>1</v>
      </c>
      <c r="F190" t="n">
        <v>1</v>
      </c>
      <c r="G190" t="n">
        <v>10056.72162398557</v>
      </c>
      <c r="H190" t="n">
        <v>220.3560424363754</v>
      </c>
      <c r="I190" t="n">
        <v>1</v>
      </c>
      <c r="J190" t="n">
        <v>0</v>
      </c>
    </row>
    <row r="191">
      <c r="A191" t="inlineStr">
        <is>
          <t>ES13280790001019E</t>
        </is>
      </c>
      <c r="B191" t="inlineStr">
        <is>
          <t>ARROYO CULEBRO CUENCA BAJA</t>
        </is>
      </c>
      <c r="C191" t="n">
        <v>41.261</v>
      </c>
      <c r="D191" t="n">
        <v>47.75407429824962</v>
      </c>
      <c r="E191" t="n">
        <v>1</v>
      </c>
      <c r="F191" t="n">
        <v>1</v>
      </c>
      <c r="G191" t="n">
        <v>12577.5951306787</v>
      </c>
      <c r="H191" t="n">
        <v>263.3826603385698</v>
      </c>
      <c r="I191" t="n">
        <v>1</v>
      </c>
      <c r="J191" t="n">
        <v>0</v>
      </c>
    </row>
    <row r="192">
      <c r="A192" t="inlineStr">
        <is>
          <t>ES13280790001012E</t>
        </is>
      </c>
      <c r="B192" t="inlineStr">
        <is>
          <t>LA CHINA</t>
        </is>
      </c>
      <c r="C192" t="n">
        <v>42.319</v>
      </c>
      <c r="D192" t="n">
        <v>45.6385108063887</v>
      </c>
      <c r="E192" t="n">
        <v>1</v>
      </c>
      <c r="F192" t="n">
        <v>1</v>
      </c>
      <c r="G192" t="n">
        <v>10056.72162398557</v>
      </c>
      <c r="H192" t="n">
        <v>220.3560424363754</v>
      </c>
      <c r="I192" t="n">
        <v>1</v>
      </c>
      <c r="J192" t="n">
        <v>0</v>
      </c>
    </row>
    <row r="193">
      <c r="A193" t="inlineStr">
        <is>
          <t>ES14300161912010E</t>
        </is>
      </c>
      <c r="B193" t="inlineStr">
        <is>
          <t>MAR MENOR SUR</t>
        </is>
      </c>
      <c r="C193" t="n">
        <v>17.988</v>
      </c>
      <c r="D193" t="n">
        <v>19.01512985522212</v>
      </c>
      <c r="E193" t="n">
        <v>1</v>
      </c>
      <c r="F193" t="n">
        <v>1</v>
      </c>
      <c r="G193" t="n">
        <v>3789.927739802313</v>
      </c>
      <c r="H193" t="n">
        <v>199.3111679309141</v>
      </c>
      <c r="I193" t="n">
        <v>0</v>
      </c>
      <c r="J19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3"/>
  <sheetViews>
    <sheetView workbookViewId="0">
      <selection activeCell="A1" sqref="A1"/>
    </sheetView>
  </sheetViews>
  <sheetFormatPr baseColWidth="8" defaultRowHeight="15"/>
  <cols>
    <col width="29" customWidth="1" min="1" max="1"/>
    <col width="67" customWidth="1" min="2" max="2"/>
    <col width="10" customWidth="1" min="3" max="3"/>
    <col width="12" customWidth="1" min="4" max="4"/>
    <col width="20" customWidth="1" min="5" max="5"/>
    <col width="19" customWidth="1" min="6" max="6"/>
    <col width="19" customWidth="1" min="7" max="7"/>
    <col width="19" customWidth="1" min="8" max="8"/>
    <col width="19" customWidth="1" min="9" max="9"/>
    <col width="16" customWidth="1" min="10" max="10"/>
  </cols>
  <sheetData>
    <row r="1">
      <c r="A1" s="1" t="inlineStr">
        <is>
          <t>UWWTD Code</t>
        </is>
      </c>
      <c r="B1" s="1" t="inlineStr">
        <is>
          <t>Name</t>
        </is>
      </c>
      <c r="C1" s="1" t="inlineStr">
        <is>
          <t>FLH_PV_h</t>
        </is>
      </c>
      <c r="D1" s="1" t="inlineStr">
        <is>
          <t>FLH_Wind_h</t>
        </is>
      </c>
      <c r="E1" s="1" t="inlineStr">
        <is>
          <t>alpha [-]</t>
        </is>
      </c>
      <c r="F1" s="1" t="inlineStr">
        <is>
          <t>k [-]</t>
        </is>
      </c>
      <c r="G1" s="1" t="inlineStr">
        <is>
          <t>LCOH [€/kg]</t>
        </is>
      </c>
      <c r="H1" s="1" t="inlineStr">
        <is>
          <t>FLH_Ely [h/a]</t>
        </is>
      </c>
      <c r="I1" s="1" t="inlineStr">
        <is>
          <t>m_H2_year [kg/a]</t>
        </is>
      </c>
      <c r="J1" s="1" t="inlineStr">
        <is>
          <t>n_starts [1/a]</t>
        </is>
      </c>
    </row>
    <row r="2">
      <c r="A2" t="inlineStr">
        <is>
          <t>DETP_HH4/4 AI 3</t>
        </is>
      </c>
      <c r="B2" t="inlineStr">
        <is>
          <t>Klärwerksverbund Köhlbrandhöft Dradenau</t>
        </is>
      </c>
      <c r="C2" t="n">
        <v>1081.82</v>
      </c>
      <c r="D2" t="n">
        <v>2936.51</v>
      </c>
      <c r="E2" t="n">
        <v>0.4270749916978038</v>
      </c>
      <c r="F2" t="n">
        <v>3.298764553163902</v>
      </c>
      <c r="G2" t="n">
        <v>5.887253721437754</v>
      </c>
      <c r="H2" t="n">
        <v>5951.181279229801</v>
      </c>
      <c r="I2" t="n">
        <v>90.56520527149365</v>
      </c>
      <c r="J2" t="n">
        <v>720</v>
      </c>
    </row>
    <row r="3">
      <c r="A3" t="inlineStr">
        <is>
          <t>NL25017</t>
        </is>
      </c>
      <c r="B3" t="inlineStr">
        <is>
          <t>UWWTP NIEUWVEER</t>
        </is>
      </c>
      <c r="C3" t="n">
        <v>1136.53</v>
      </c>
      <c r="D3" t="n">
        <v>3115.62</v>
      </c>
      <c r="E3" t="n">
        <v>0.4179832866725307</v>
      </c>
      <c r="F3" t="n">
        <v>3.099393079966644</v>
      </c>
      <c r="G3" t="n">
        <v>5.766450780196736</v>
      </c>
      <c r="H3" t="n">
        <v>5997.98970119368</v>
      </c>
      <c r="I3" t="n">
        <v>91.23393154545153</v>
      </c>
      <c r="J3" t="n">
        <v>734</v>
      </c>
    </row>
    <row r="4">
      <c r="A4" t="inlineStr">
        <is>
          <t>ATTP_4-41003001</t>
        </is>
      </c>
      <c r="B4" t="inlineStr">
        <is>
          <t>Asten - Regionalkläranlage</t>
        </is>
      </c>
      <c r="C4" t="n">
        <v>1357.14</v>
      </c>
      <c r="D4" t="n">
        <v>2557.85</v>
      </c>
      <c r="E4" t="n">
        <v>0.4765274354946102</v>
      </c>
      <c r="F4" t="n">
        <v>3.299659982167703</v>
      </c>
      <c r="G4" t="n">
        <v>6.340877330835048</v>
      </c>
      <c r="H4" t="n">
        <v>5490.632079101669</v>
      </c>
      <c r="I4" t="n">
        <v>83.37742541066149</v>
      </c>
      <c r="J4" t="n">
        <v>1276</v>
      </c>
    </row>
    <row r="5">
      <c r="A5" t="inlineStr">
        <is>
          <t>ATTP_9-HKA-Simmering</t>
        </is>
      </c>
      <c r="B5" t="inlineStr">
        <is>
          <t>Hauptkläranlage Wien</t>
        </is>
      </c>
      <c r="C5" t="n">
        <v>1285.74</v>
      </c>
      <c r="D5" t="n">
        <v>3550.47</v>
      </c>
      <c r="E5" t="n">
        <v>0.4766051549105732</v>
      </c>
      <c r="F5" t="n">
        <v>2.898158479352162</v>
      </c>
      <c r="G5" t="n">
        <v>5.385547884294044</v>
      </c>
      <c r="H5" t="n">
        <v>6049.526354109432</v>
      </c>
      <c r="I5" t="n">
        <v>91.7644824084871</v>
      </c>
      <c r="J5" t="n">
        <v>1066</v>
      </c>
    </row>
    <row r="6">
      <c r="A6" t="inlineStr">
        <is>
          <t>PLMP0011</t>
        </is>
      </c>
      <c r="B6" t="inlineStr">
        <is>
          <t>Kraków-Płaszów</t>
        </is>
      </c>
      <c r="C6" t="n">
        <v>1210.88</v>
      </c>
      <c r="D6" t="n">
        <v>2366.3</v>
      </c>
      <c r="E6" t="n">
        <v>0.4766924998967355</v>
      </c>
      <c r="F6" t="n">
        <v>3.499530377923886</v>
      </c>
      <c r="G6" t="n">
        <v>6.604934336428308</v>
      </c>
      <c r="H6" t="n">
        <v>5438.795657103967</v>
      </c>
      <c r="I6" t="n">
        <v>82.63472237619455</v>
      </c>
      <c r="J6" t="n">
        <v>1262</v>
      </c>
    </row>
    <row r="7">
      <c r="A7" t="inlineStr">
        <is>
          <t>DETP_NW1805</t>
        </is>
      </c>
      <c r="B7" t="inlineStr">
        <is>
          <t>Köln Stammheim</t>
        </is>
      </c>
      <c r="C7" t="n">
        <v>1169.6</v>
      </c>
      <c r="D7" t="n">
        <v>2618.29</v>
      </c>
      <c r="E7" t="n">
        <v>0.4690712090810748</v>
      </c>
      <c r="F7" t="n">
        <v>3.498243136926823</v>
      </c>
      <c r="G7" t="n">
        <v>6.149394461268167</v>
      </c>
      <c r="H7" t="n">
        <v>5752.186496747251</v>
      </c>
      <c r="I7" t="n">
        <v>87.45616843283602</v>
      </c>
      <c r="J7" t="n">
        <v>924</v>
      </c>
    </row>
    <row r="8">
      <c r="A8" t="inlineStr">
        <is>
          <t>RO8IF_53</t>
        </is>
      </c>
      <c r="B8" t="inlineStr">
        <is>
          <t>ROWP SC APA NOVA SA BUCURESTI</t>
        </is>
      </c>
      <c r="C8" t="n">
        <v>1368.39</v>
      </c>
      <c r="D8" t="n">
        <v>2813.55</v>
      </c>
      <c r="E8" t="n">
        <v>0.521397594154527</v>
      </c>
      <c r="F8" t="n">
        <v>3.196092752011788</v>
      </c>
      <c r="G8" t="n">
        <v>5.958380490196223</v>
      </c>
      <c r="H8" t="n">
        <v>5628.441817343193</v>
      </c>
      <c r="I8" t="n">
        <v>85.30093802137812</v>
      </c>
      <c r="J8" t="n">
        <v>1753</v>
      </c>
    </row>
    <row r="9">
      <c r="A9" t="inlineStr">
        <is>
          <t>PLSL0090</t>
        </is>
      </c>
      <c r="B9" t="inlineStr">
        <is>
          <t>Centralna Oczyszczalnia Ścieków w Gliwicach</t>
        </is>
      </c>
      <c r="C9" t="n">
        <v>1187.68</v>
      </c>
      <c r="D9" t="n">
        <v>2450.12</v>
      </c>
      <c r="E9" t="n">
        <v>0.450496191187008</v>
      </c>
      <c r="F9" t="n">
        <v>3.499802324328335</v>
      </c>
      <c r="G9" t="n">
        <v>6.458678015906681</v>
      </c>
      <c r="H9" t="n">
        <v>5631.830021649535</v>
      </c>
      <c r="I9" t="n">
        <v>85.6518751949724</v>
      </c>
      <c r="J9" t="n">
        <v>1000</v>
      </c>
    </row>
    <row r="10">
      <c r="A10" t="inlineStr">
        <is>
          <t>ES2502970002010E</t>
        </is>
      </c>
      <c r="B10" t="inlineStr">
        <is>
          <t>ZARAGOZA (LA CARTUJA)</t>
        </is>
      </c>
      <c r="C10" t="n">
        <v>1562.27</v>
      </c>
      <c r="D10" t="n">
        <v>3702.34</v>
      </c>
      <c r="E10" t="n">
        <v>0.5174220856358817</v>
      </c>
      <c r="F10" t="n">
        <v>2.800147478324072</v>
      </c>
      <c r="G10" t="n">
        <v>5.11324592035982</v>
      </c>
      <c r="H10" t="n">
        <v>6151.38513793862</v>
      </c>
      <c r="I10" t="n">
        <v>93.20731953245561</v>
      </c>
      <c r="J10" t="n">
        <v>1102</v>
      </c>
    </row>
    <row r="11">
      <c r="A11" t="inlineStr">
        <is>
          <t>PLMZ0011</t>
        </is>
      </c>
      <c r="B11" t="inlineStr">
        <is>
          <t>Zakład Oczyszczalni Ścieków "Czajka"</t>
        </is>
      </c>
      <c r="C11" t="n">
        <v>1124.53</v>
      </c>
      <c r="D11" t="n">
        <v>2493.29</v>
      </c>
      <c r="E11" t="n">
        <v>0.4226824723031855</v>
      </c>
      <c r="F11" t="n">
        <v>3.49739381111849</v>
      </c>
      <c r="G11" t="n">
        <v>6.463425296557574</v>
      </c>
      <c r="H11" t="n">
        <v>5699.69738575976</v>
      </c>
      <c r="I11" t="n">
        <v>86.76727973404667</v>
      </c>
      <c r="J11" t="n">
        <v>856</v>
      </c>
    </row>
    <row r="12">
      <c r="A12" t="inlineStr">
        <is>
          <t>DETP_NW2102</t>
        </is>
      </c>
      <c r="B12" t="inlineStr">
        <is>
          <t>Krefeld</t>
        </is>
      </c>
      <c r="C12" t="n">
        <v>1136.3</v>
      </c>
      <c r="D12" t="n">
        <v>2667.41</v>
      </c>
      <c r="E12" t="n">
        <v>0.4622764369792628</v>
      </c>
      <c r="F12" t="n">
        <v>3.497876540789922</v>
      </c>
      <c r="G12" t="n">
        <v>6.11278299104564</v>
      </c>
      <c r="H12" t="n">
        <v>5805.846428830272</v>
      </c>
      <c r="I12" t="n">
        <v>88.31313692317502</v>
      </c>
      <c r="J12" t="n">
        <v>866</v>
      </c>
    </row>
    <row r="13">
      <c r="A13" t="inlineStr">
        <is>
          <t>NL32002</t>
        </is>
      </c>
      <c r="B13" t="inlineStr">
        <is>
          <t>UWWTP TILBURG-NOORD</t>
        </is>
      </c>
      <c r="C13" t="n">
        <v>1132.08</v>
      </c>
      <c r="D13" t="n">
        <v>2937.65</v>
      </c>
      <c r="E13" t="n">
        <v>0.4180435110271731</v>
      </c>
      <c r="F13" t="n">
        <v>3.19979336531918</v>
      </c>
      <c r="G13" t="n">
        <v>5.942538038834998</v>
      </c>
      <c r="H13" t="n">
        <v>5917.27743663978</v>
      </c>
      <c r="I13" t="n">
        <v>90.05782797494989</v>
      </c>
      <c r="J13" t="n">
        <v>775</v>
      </c>
    </row>
    <row r="14">
      <c r="A14" t="inlineStr">
        <is>
          <t>DETP_BW2225100000001</t>
        </is>
      </c>
      <c r="B14" t="inlineStr">
        <is>
          <t>Kläranlage Mannheim</t>
        </is>
      </c>
      <c r="C14" t="n">
        <v>1204.17</v>
      </c>
      <c r="D14" t="n">
        <v>2052.83</v>
      </c>
      <c r="E14" t="n">
        <v>0.5032175501825242</v>
      </c>
      <c r="F14" t="n">
        <v>3.799833559286951</v>
      </c>
      <c r="G14" t="n">
        <v>6.988192114728251</v>
      </c>
      <c r="H14" t="n">
        <v>5195.096602724792</v>
      </c>
      <c r="I14" t="n">
        <v>78.9507163887952</v>
      </c>
      <c r="J14" t="n">
        <v>1244</v>
      </c>
    </row>
    <row r="15">
      <c r="A15" t="inlineStr">
        <is>
          <t>ES9081690001010E</t>
        </is>
      </c>
      <c r="B15" t="inlineStr">
        <is>
          <t>PRAT DE LLOBREGAT (EL)</t>
        </is>
      </c>
      <c r="C15" t="n">
        <v>1521.07</v>
      </c>
      <c r="D15" t="n">
        <v>2112.91</v>
      </c>
      <c r="E15" t="n">
        <v>0.5718595102339231</v>
      </c>
      <c r="F15" t="n">
        <v>3.199952315087798</v>
      </c>
      <c r="G15" t="n">
        <v>6.977918536927872</v>
      </c>
      <c r="H15" t="n">
        <v>4710.665172466562</v>
      </c>
      <c r="I15" t="n">
        <v>71.02102105447891</v>
      </c>
      <c r="J15" t="n">
        <v>2321</v>
      </c>
    </row>
    <row r="16">
      <c r="A16" t="inlineStr">
        <is>
          <t>ES16010590063010E</t>
        </is>
      </c>
      <c r="B16" t="inlineStr">
        <is>
          <t>Crispijana</t>
        </is>
      </c>
      <c r="C16" t="n">
        <v>1403.01</v>
      </c>
      <c r="D16" t="n">
        <v>2970.66</v>
      </c>
      <c r="E16" t="n">
        <v>0.5002325292216296</v>
      </c>
      <c r="F16" t="n">
        <v>2.899992135797438</v>
      </c>
      <c r="G16" t="n">
        <v>5.937448195518325</v>
      </c>
      <c r="H16" t="n">
        <v>5440.580604843755</v>
      </c>
      <c r="I16" t="n">
        <v>82.33262231716881</v>
      </c>
      <c r="J16" t="n">
        <v>1510</v>
      </c>
    </row>
    <row r="17">
      <c r="A17" t="inlineStr">
        <is>
          <t>DETP_BE03</t>
        </is>
      </c>
      <c r="B17" t="inlineStr">
        <is>
          <t>Waßmannsdorf</t>
        </is>
      </c>
      <c r="C17" t="n">
        <v>1122.16</v>
      </c>
      <c r="D17" t="n">
        <v>2553.18</v>
      </c>
      <c r="E17" t="n">
        <v>0.4448306515778246</v>
      </c>
      <c r="F17" t="n">
        <v>3.500903056909149</v>
      </c>
      <c r="G17" t="n">
        <v>6.292206480237265</v>
      </c>
      <c r="H17" t="n">
        <v>5693.563294044828</v>
      </c>
      <c r="I17" t="n">
        <v>86.67960451809302</v>
      </c>
      <c r="J17" t="n">
        <v>798</v>
      </c>
    </row>
    <row r="18">
      <c r="A18" t="inlineStr">
        <is>
          <t>DETP_MV03.03.1 wbu1437</t>
        </is>
      </c>
      <c r="B18" t="inlineStr">
        <is>
          <t>Rostock - Bramow</t>
        </is>
      </c>
      <c r="C18" t="n">
        <v>1101.15</v>
      </c>
      <c r="D18" t="n">
        <v>3490.02</v>
      </c>
      <c r="E18" t="n">
        <v>0.4252630015094003</v>
      </c>
      <c r="F18" t="n">
        <v>2.899932518757451</v>
      </c>
      <c r="G18" t="n">
        <v>5.383282157351073</v>
      </c>
      <c r="H18" t="n">
        <v>6098.533518740323</v>
      </c>
      <c r="I18" t="n">
        <v>92.66613838860009</v>
      </c>
      <c r="J18" t="n">
        <v>700</v>
      </c>
    </row>
    <row r="19">
      <c r="A19" t="inlineStr">
        <is>
          <t>CZ8119-713767-00845451-4/1U</t>
        </is>
      </c>
      <c r="B19" t="inlineStr">
        <is>
          <t>UCOV Ostrava - Privoz</t>
        </is>
      </c>
      <c r="C19" t="n">
        <v>1217.11</v>
      </c>
      <c r="D19" t="n">
        <v>2710.57</v>
      </c>
      <c r="E19" t="n">
        <v>0.457554340437025</v>
      </c>
      <c r="F19" t="n">
        <v>3.298474818058438</v>
      </c>
      <c r="G19" t="n">
        <v>6.154851455316505</v>
      </c>
      <c r="H19" t="n">
        <v>5705.097074245277</v>
      </c>
      <c r="I19" t="n">
        <v>86.69913130208315</v>
      </c>
      <c r="J19" t="n">
        <v>1003</v>
      </c>
    </row>
    <row r="20">
      <c r="A20" t="inlineStr">
        <is>
          <t>BGWT56784_00_01</t>
        </is>
      </c>
      <c r="B20" t="inlineStr">
        <is>
          <t>UWWTP Plovdiv</t>
        </is>
      </c>
      <c r="C20" t="n">
        <v>1479.35</v>
      </c>
      <c r="D20" t="n">
        <v>1845.16</v>
      </c>
      <c r="E20" t="n">
        <v>0.5285140982056276</v>
      </c>
      <c r="F20" t="n">
        <v>3.599007508765695</v>
      </c>
      <c r="G20" t="n">
        <v>7.203249694455665</v>
      </c>
      <c r="H20" t="n">
        <v>4946.341388820015</v>
      </c>
      <c r="I20" t="n">
        <v>74.87271006723304</v>
      </c>
      <c r="J20" t="n">
        <v>1938</v>
      </c>
    </row>
    <row r="21">
      <c r="A21" t="inlineStr">
        <is>
          <t>DETP_HB18-1</t>
        </is>
      </c>
      <c r="B21" t="inlineStr">
        <is>
          <t>Kläranlage Seehausen</t>
        </is>
      </c>
      <c r="C21" t="n">
        <v>1080.85</v>
      </c>
      <c r="D21" t="n">
        <v>2920.53</v>
      </c>
      <c r="E21" t="n">
        <v>0.4277162531359197</v>
      </c>
      <c r="F21" t="n">
        <v>3.299483338003095</v>
      </c>
      <c r="G21" t="n">
        <v>5.892601148706309</v>
      </c>
      <c r="H21" t="n">
        <v>5944.281548529018</v>
      </c>
      <c r="I21" t="n">
        <v>90.46242878762173</v>
      </c>
      <c r="J21" t="n">
        <v>730</v>
      </c>
    </row>
    <row r="22">
      <c r="A22" t="inlineStr">
        <is>
          <t>DETP_ST151541000001</t>
        </is>
      </c>
      <c r="B22" t="inlineStr">
        <is>
          <t>Bitterfeld-Wolfen</t>
        </is>
      </c>
      <c r="C22" t="n">
        <v>1163.89</v>
      </c>
      <c r="D22" t="n">
        <v>2422.21</v>
      </c>
      <c r="E22" t="n">
        <v>0.4745851309389115</v>
      </c>
      <c r="F22" t="n">
        <v>3.60014460803048</v>
      </c>
      <c r="G22" t="n">
        <v>6.428842260423521</v>
      </c>
      <c r="H22" t="n">
        <v>5568.441378471732</v>
      </c>
      <c r="I22" t="n">
        <v>84.71080078380473</v>
      </c>
      <c r="J22" t="n">
        <v>976</v>
      </c>
    </row>
    <row r="23">
      <c r="A23" t="inlineStr">
        <is>
          <t>DETP_NW904</t>
        </is>
      </c>
      <c r="B23" t="inlineStr">
        <is>
          <t>Duisburg-Kaßlerfeld</t>
        </is>
      </c>
      <c r="C23" t="n">
        <v>1130.6</v>
      </c>
      <c r="D23" t="n">
        <v>2666.36</v>
      </c>
      <c r="E23" t="n">
        <v>0.4614025151204663</v>
      </c>
      <c r="F23" t="n">
        <v>3.49789982349239</v>
      </c>
      <c r="G23" t="n">
        <v>6.120198258031955</v>
      </c>
      <c r="H23" t="n">
        <v>5801.96304878203</v>
      </c>
      <c r="I23" t="n">
        <v>88.24989923497461</v>
      </c>
      <c r="J23" t="n">
        <v>903</v>
      </c>
    </row>
    <row r="24">
      <c r="A24" t="inlineStr">
        <is>
          <t>PLWL0011</t>
        </is>
      </c>
      <c r="B24" t="inlineStr">
        <is>
          <t>Centralna Oczyszczalnia Ścieków w Koziegłowach</t>
        </is>
      </c>
      <c r="C24" t="n">
        <v>1116.09</v>
      </c>
      <c r="D24" t="n">
        <v>2621.47</v>
      </c>
      <c r="E24" t="n">
        <v>0.4153914374003346</v>
      </c>
      <c r="F24" t="n">
        <v>3.399563076680229</v>
      </c>
      <c r="G24" t="n">
        <v>6.311013704114919</v>
      </c>
      <c r="H24" t="n">
        <v>5767.059289528976</v>
      </c>
      <c r="I24" t="n">
        <v>87.7808993849961</v>
      </c>
      <c r="J24" t="n">
        <v>872</v>
      </c>
    </row>
    <row r="25">
      <c r="A25" t="inlineStr">
        <is>
          <t>RO2GL_51</t>
        </is>
      </c>
      <c r="B25" t="inlineStr">
        <is>
          <t>ROWP GALATI</t>
        </is>
      </c>
      <c r="C25" t="n">
        <v>1359.98</v>
      </c>
      <c r="D25" t="n">
        <v>3554.7</v>
      </c>
      <c r="E25" t="n">
        <v>0.4697652304152469</v>
      </c>
      <c r="F25" t="n">
        <v>2.802188526165851</v>
      </c>
      <c r="G25" t="n">
        <v>5.249190941502947</v>
      </c>
      <c r="H25" t="n">
        <v>6119.203036827108</v>
      </c>
      <c r="I25" t="n">
        <v>92.87272383391957</v>
      </c>
      <c r="J25" t="n">
        <v>1140</v>
      </c>
    </row>
    <row r="26">
      <c r="A26" t="inlineStr">
        <is>
          <t>DETP_BW2125100000014</t>
        </is>
      </c>
      <c r="B26" t="inlineStr">
        <is>
          <t>SKA Karlsruhe Neureut</t>
        </is>
      </c>
      <c r="C26" t="n">
        <v>1217.47</v>
      </c>
      <c r="D26" t="n">
        <v>2043.99</v>
      </c>
      <c r="E26" t="n">
        <v>0.5161977581631891</v>
      </c>
      <c r="F26" t="n">
        <v>3.82791387338228</v>
      </c>
      <c r="G26" t="n">
        <v>6.99657353827372</v>
      </c>
      <c r="H26" t="n">
        <v>5174.253778601565</v>
      </c>
      <c r="I26" t="n">
        <v>78.56196649454866</v>
      </c>
      <c r="J26" t="n">
        <v>1357</v>
      </c>
    </row>
    <row r="27">
      <c r="A27" t="inlineStr">
        <is>
          <t>ATTP_6-M3631054R0</t>
        </is>
      </c>
      <c r="B27" t="inlineStr">
        <is>
          <t>Gratkorn</t>
        </is>
      </c>
      <c r="C27" t="n">
        <v>1335.87</v>
      </c>
      <c r="D27" t="n">
        <v>2112.18</v>
      </c>
      <c r="E27" t="n">
        <v>0.5117872423292699</v>
      </c>
      <c r="F27" t="n">
        <v>3.498995165554883</v>
      </c>
      <c r="G27" t="n">
        <v>7.09045239347356</v>
      </c>
      <c r="H27" t="n">
        <v>4988.426968258947</v>
      </c>
      <c r="I27" t="n">
        <v>75.57621831803094</v>
      </c>
      <c r="J27" t="n">
        <v>1629</v>
      </c>
    </row>
    <row r="28">
      <c r="A28" t="inlineStr">
        <is>
          <t>IT05000000000043</t>
        </is>
      </c>
      <c r="B28" t="inlineStr">
        <is>
          <t>Arzignano_Via_Altura</t>
        </is>
      </c>
      <c r="C28" t="n">
        <v>1325.39</v>
      </c>
      <c r="D28" t="n">
        <v>1143.86</v>
      </c>
      <c r="E28" t="n">
        <v>1</v>
      </c>
      <c r="F28" t="n">
        <v>3.468608351426654</v>
      </c>
      <c r="G28" t="n">
        <v>8.85633359102787</v>
      </c>
      <c r="H28" t="n">
        <v>3000.249165734509</v>
      </c>
      <c r="I28" t="n">
        <v>44.83550481626764</v>
      </c>
      <c r="J28" t="n">
        <v>3653</v>
      </c>
    </row>
    <row r="29">
      <c r="A29" t="inlineStr">
        <is>
          <t>DETP_NW906</t>
        </is>
      </c>
      <c r="B29" t="inlineStr">
        <is>
          <t>Duisburg-Alte Emscher</t>
        </is>
      </c>
      <c r="C29" t="n">
        <v>1126.8</v>
      </c>
      <c r="D29" t="n">
        <v>2668.82</v>
      </c>
      <c r="E29" t="n">
        <v>0.4606324894774124</v>
      </c>
      <c r="F29" t="n">
        <v>3.497902645866263</v>
      </c>
      <c r="G29" t="n">
        <v>6.122772586525923</v>
      </c>
      <c r="H29" t="n">
        <v>5801.875745644998</v>
      </c>
      <c r="I29" t="n">
        <v>88.25109532831011</v>
      </c>
      <c r="J29" t="n">
        <v>911</v>
      </c>
    </row>
    <row r="30">
      <c r="A30" t="inlineStr">
        <is>
          <t>DETP_HE064140000101</t>
        </is>
      </c>
      <c r="B30" t="inlineStr">
        <is>
          <t>Wiesbaden / Mitte</t>
        </is>
      </c>
      <c r="C30" t="n">
        <v>1190.73</v>
      </c>
      <c r="D30" t="n">
        <v>2110.29</v>
      </c>
      <c r="E30" t="n">
        <v>0.4912331560753271</v>
      </c>
      <c r="F30" t="n">
        <v>3.798935669225513</v>
      </c>
      <c r="G30" t="n">
        <v>6.925639640564063</v>
      </c>
      <c r="H30" t="n">
        <v>5276.246709146484</v>
      </c>
      <c r="I30" t="n">
        <v>80.22512047452913</v>
      </c>
      <c r="J30" t="n">
        <v>1095</v>
      </c>
    </row>
    <row r="31">
      <c r="A31" t="inlineStr">
        <is>
          <t>DETP_NW905</t>
        </is>
      </c>
      <c r="B31" t="inlineStr">
        <is>
          <t>Emscherkläranlage</t>
        </is>
      </c>
      <c r="C31" t="n">
        <v>1124.95</v>
      </c>
      <c r="D31" t="n">
        <v>2673.81</v>
      </c>
      <c r="E31" t="n">
        <v>0.4505052718678592</v>
      </c>
      <c r="F31" t="n">
        <v>3.499896840869392</v>
      </c>
      <c r="G31" t="n">
        <v>6.117970823127992</v>
      </c>
      <c r="H31" t="n">
        <v>5842.196375726525</v>
      </c>
      <c r="I31" t="n">
        <v>88.85173823855619</v>
      </c>
      <c r="J31" t="n">
        <v>886</v>
      </c>
    </row>
    <row r="32">
      <c r="A32" t="inlineStr">
        <is>
          <t>ATTP_6-M3489301R0</t>
        </is>
      </c>
      <c r="B32" t="inlineStr">
        <is>
          <t>Graz-Gössendorf</t>
        </is>
      </c>
      <c r="C32" t="n">
        <v>1348.5</v>
      </c>
      <c r="D32" t="n">
        <v>1958.06</v>
      </c>
      <c r="E32" t="n">
        <v>0.5512598654840365</v>
      </c>
      <c r="F32" t="n">
        <v>3.599192801738798</v>
      </c>
      <c r="G32" t="n">
        <v>7.320254908397775</v>
      </c>
      <c r="H32" t="n">
        <v>4809.992738248291</v>
      </c>
      <c r="I32" t="n">
        <v>72.77809145962492</v>
      </c>
      <c r="J32" t="n">
        <v>2050</v>
      </c>
    </row>
    <row r="33">
      <c r="A33" t="inlineStr">
        <is>
          <t>DETP_BYM-K0001</t>
        </is>
      </c>
      <c r="B33" t="inlineStr">
        <is>
          <t>München II - Gut Marienhof</t>
        </is>
      </c>
      <c r="C33" t="n">
        <v>1247.45</v>
      </c>
      <c r="D33" t="n">
        <v>1852.29</v>
      </c>
      <c r="E33" t="n">
        <v>0.5501460039259034</v>
      </c>
      <c r="F33" t="n">
        <v>3.89998739807959</v>
      </c>
      <c r="G33" t="n">
        <v>7.304779923866291</v>
      </c>
      <c r="H33" t="n">
        <v>4910.846817359963</v>
      </c>
      <c r="I33" t="n">
        <v>74.45497415216113</v>
      </c>
      <c r="J33" t="n">
        <v>1697</v>
      </c>
    </row>
    <row r="34">
      <c r="A34" t="inlineStr">
        <is>
          <t>IT03160128000457</t>
        </is>
      </c>
      <c r="B34" t="inlineStr">
        <is>
          <t>Dp01514602_Milano_S_Rocco</t>
        </is>
      </c>
      <c r="C34" t="n">
        <v>1363.33</v>
      </c>
      <c r="D34" t="n">
        <v>1009.92</v>
      </c>
      <c r="E34" t="n">
        <v>1</v>
      </c>
      <c r="F34" t="n">
        <v>3.310398908992142</v>
      </c>
      <c r="G34" t="n">
        <v>8.701880309362791</v>
      </c>
      <c r="H34" t="n">
        <v>3000.049319156016</v>
      </c>
      <c r="I34" t="n">
        <v>44.83645561867282</v>
      </c>
      <c r="J34" t="n">
        <v>3653</v>
      </c>
    </row>
    <row r="35">
      <c r="A35" t="inlineStr">
        <is>
          <t>ES16200690005010E</t>
        </is>
      </c>
      <c r="B35" t="inlineStr">
        <is>
          <t>Loiola</t>
        </is>
      </c>
      <c r="C35" t="n">
        <v>1457.21</v>
      </c>
      <c r="D35" t="n">
        <v>3100.2</v>
      </c>
      <c r="E35" t="n">
        <v>0.490246100334915</v>
      </c>
      <c r="F35" t="n">
        <v>2.896236565996028</v>
      </c>
      <c r="G35" t="n">
        <v>5.71977241752578</v>
      </c>
      <c r="H35" t="n">
        <v>5664.232150987866</v>
      </c>
      <c r="I35" t="n">
        <v>85.81773088959882</v>
      </c>
      <c r="J35" t="n">
        <v>1227</v>
      </c>
    </row>
    <row r="36">
      <c r="A36" t="inlineStr">
        <is>
          <t>PLMP0016</t>
        </is>
      </c>
      <c r="B36" t="inlineStr">
        <is>
          <t>Kraków-Kujawy</t>
        </is>
      </c>
      <c r="C36" t="n">
        <v>1208.37</v>
      </c>
      <c r="D36" t="n">
        <v>2357.96</v>
      </c>
      <c r="E36" t="n">
        <v>0.4750697522399737</v>
      </c>
      <c r="F36" t="n">
        <v>3.499939309180514</v>
      </c>
      <c r="G36" t="n">
        <v>6.609362235766403</v>
      </c>
      <c r="H36" t="n">
        <v>5438.652058285068</v>
      </c>
      <c r="I36" t="n">
        <v>82.6538210255965</v>
      </c>
      <c r="J36" t="n">
        <v>1210</v>
      </c>
    </row>
    <row r="37">
      <c r="A37" t="inlineStr">
        <is>
          <t>DETP_NW1502</t>
        </is>
      </c>
      <c r="B37" t="inlineStr">
        <is>
          <t>Bottrop</t>
        </is>
      </c>
      <c r="C37" t="n">
        <v>1124.71</v>
      </c>
      <c r="D37" t="n">
        <v>2685.16</v>
      </c>
      <c r="E37" t="n">
        <v>0.4549623547383621</v>
      </c>
      <c r="F37" t="n">
        <v>3.400071583700352</v>
      </c>
      <c r="G37" t="n">
        <v>6.1042109161792</v>
      </c>
      <c r="H37" t="n">
        <v>5747.818838566406</v>
      </c>
      <c r="I37" t="n">
        <v>87.4429344264863</v>
      </c>
      <c r="J37" t="n">
        <v>916</v>
      </c>
    </row>
    <row r="38">
      <c r="A38" t="inlineStr">
        <is>
          <t>DETP_RP102380095</t>
        </is>
      </c>
      <c r="B38" t="inlineStr">
        <is>
          <t>Mainz</t>
        </is>
      </c>
      <c r="C38" t="n">
        <v>1191.52</v>
      </c>
      <c r="D38" t="n">
        <v>2109.36</v>
      </c>
      <c r="E38" t="n">
        <v>0.4913091574825079</v>
      </c>
      <c r="F38" t="n">
        <v>3.798391679777973</v>
      </c>
      <c r="G38" t="n">
        <v>6.934062713856052</v>
      </c>
      <c r="H38" t="n">
        <v>5269.73502092978</v>
      </c>
      <c r="I38" t="n">
        <v>80.11764143127951</v>
      </c>
      <c r="J38" t="n">
        <v>1118</v>
      </c>
    </row>
    <row r="39">
      <c r="A39" t="inlineStr">
        <is>
          <t>DETP_BYDON-K0001</t>
        </is>
      </c>
      <c r="B39" t="inlineStr">
        <is>
          <t>Augsburg</t>
        </is>
      </c>
      <c r="C39" t="n">
        <v>1267.4</v>
      </c>
      <c r="D39" t="n">
        <v>2031.58</v>
      </c>
      <c r="E39" t="n">
        <v>0.5368313844474414</v>
      </c>
      <c r="F39" t="n">
        <v>3.798810540022107</v>
      </c>
      <c r="G39" t="n">
        <v>6.977582850978758</v>
      </c>
      <c r="H39" t="n">
        <v>5106.620809439794</v>
      </c>
      <c r="I39" t="n">
        <v>77.46723022290989</v>
      </c>
      <c r="J39" t="n">
        <v>1576</v>
      </c>
    </row>
    <row r="40">
      <c r="A40" t="inlineStr">
        <is>
          <t>FR037635102000</t>
        </is>
      </c>
      <c r="B40" t="inlineStr">
        <is>
          <t>LE HAVRE</t>
        </is>
      </c>
      <c r="C40" t="n">
        <v>1294.14</v>
      </c>
      <c r="D40" t="n">
        <v>4604.4</v>
      </c>
      <c r="E40" t="n">
        <v>0.3822325181956511</v>
      </c>
      <c r="F40" t="n">
        <v>2.198494923435261</v>
      </c>
      <c r="G40" t="n">
        <v>4.626068113400824</v>
      </c>
      <c r="H40" t="n">
        <v>6422.310059320416</v>
      </c>
      <c r="I40" t="n">
        <v>97.45667811569382</v>
      </c>
      <c r="J40" t="n">
        <v>634</v>
      </c>
    </row>
    <row r="41">
      <c r="A41" t="inlineStr">
        <is>
          <t>IT03160128000456</t>
        </is>
      </c>
      <c r="B41" t="inlineStr">
        <is>
          <t>Dp01514601_Milano_Nosedo</t>
        </is>
      </c>
      <c r="C41" t="n">
        <v>1361.03</v>
      </c>
      <c r="D41" t="n">
        <v>1001.15</v>
      </c>
      <c r="E41" t="n">
        <v>1</v>
      </c>
      <c r="F41" t="n">
        <v>3.4</v>
      </c>
      <c r="G41" t="n">
        <v>8.736128447459796</v>
      </c>
      <c r="H41" t="n">
        <v>3018.54130048362</v>
      </c>
      <c r="I41" t="n">
        <v>45.10907998183513</v>
      </c>
      <c r="J41" t="n">
        <v>3652</v>
      </c>
    </row>
    <row r="42">
      <c r="A42" t="inlineStr">
        <is>
          <t>UKENNE_NU_TP000012</t>
        </is>
      </c>
      <c r="B42" t="inlineStr">
        <is>
          <t>MIDDLESBOROUGH   STW</t>
        </is>
      </c>
      <c r="C42" t="n">
        <v>1038.75</v>
      </c>
      <c r="D42" t="n">
        <v>4036.93</v>
      </c>
      <c r="E42" t="n">
        <v>0.332246356207383</v>
      </c>
      <c r="F42" t="n">
        <v>2.397341783750542</v>
      </c>
      <c r="G42" t="n">
        <v>5.080246270583133</v>
      </c>
      <c r="H42" t="n">
        <v>6207.336483299811</v>
      </c>
      <c r="I42" t="n">
        <v>94.29908683251074</v>
      </c>
      <c r="J42" t="n">
        <v>600</v>
      </c>
    </row>
    <row r="43">
      <c r="A43" t="inlineStr">
        <is>
          <t>UKENNE_YW_TP000098</t>
        </is>
      </c>
      <c r="B43" t="inlineStr">
        <is>
          <t>LEEDS (KNOSTROP) STW</t>
        </is>
      </c>
      <c r="C43" t="n">
        <v>1053.31</v>
      </c>
      <c r="D43" t="n">
        <v>3673.96</v>
      </c>
      <c r="E43" t="n">
        <v>0.3339466309756555</v>
      </c>
      <c r="F43" t="n">
        <v>2.598629407165428</v>
      </c>
      <c r="G43" t="n">
        <v>5.342357016925906</v>
      </c>
      <c r="H43" t="n">
        <v>6132.850328660312</v>
      </c>
      <c r="I43" t="n">
        <v>93.2777556004287</v>
      </c>
      <c r="J43" t="n">
        <v>550</v>
      </c>
    </row>
    <row r="44">
      <c r="A44" t="inlineStr">
        <is>
          <t>FIJVP_O000000000036</t>
        </is>
      </c>
      <c r="B44" t="inlineStr">
        <is>
          <t>TP (36) of Helsingin kt.</t>
        </is>
      </c>
      <c r="C44" t="n">
        <v>1071.57</v>
      </c>
      <c r="D44" t="n">
        <v>4070.99</v>
      </c>
      <c r="E44" t="n">
        <v>0.2965710481917437</v>
      </c>
      <c r="F44" t="n">
        <v>2.298812308338101</v>
      </c>
      <c r="G44" t="n">
        <v>5.005244490770703</v>
      </c>
      <c r="H44" t="n">
        <v>6259.19607647707</v>
      </c>
      <c r="I44" t="n">
        <v>95.11223955851096</v>
      </c>
      <c r="J44" t="n">
        <v>548</v>
      </c>
    </row>
    <row r="45">
      <c r="A45" t="inlineStr">
        <is>
          <t>PLMP0020</t>
        </is>
      </c>
      <c r="B45" t="inlineStr">
        <is>
          <t>Tarnów</t>
        </is>
      </c>
      <c r="C45" t="n">
        <v>1200.66</v>
      </c>
      <c r="D45" t="n">
        <v>2307.48</v>
      </c>
      <c r="E45" t="n">
        <v>0.4666032553880854</v>
      </c>
      <c r="F45" t="n">
        <v>3.598940347228648</v>
      </c>
      <c r="G45" t="n">
        <v>6.648239778305048</v>
      </c>
      <c r="H45" t="n">
        <v>5512.660481200766</v>
      </c>
      <c r="I45" t="n">
        <v>83.81934456024092</v>
      </c>
      <c r="J45" t="n">
        <v>1107</v>
      </c>
    </row>
    <row r="46">
      <c r="A46" t="inlineStr">
        <is>
          <t>DETP_BB239</t>
        </is>
      </c>
      <c r="B46" t="inlineStr">
        <is>
          <t>Stahnsdorf</t>
        </is>
      </c>
      <c r="C46" t="n">
        <v>1123.98</v>
      </c>
      <c r="D46" t="n">
        <v>2547.93</v>
      </c>
      <c r="E46" t="n">
        <v>0.4482232464150859</v>
      </c>
      <c r="F46" t="n">
        <v>3.500440747757242</v>
      </c>
      <c r="G46" t="n">
        <v>6.301651548014751</v>
      </c>
      <c r="H46" t="n">
        <v>5674.392429519049</v>
      </c>
      <c r="I46" t="n">
        <v>86.37949158132554</v>
      </c>
      <c r="J46" t="n">
        <v>835</v>
      </c>
    </row>
    <row r="47">
      <c r="A47" t="inlineStr">
        <is>
          <t>NL25021</t>
        </is>
      </c>
      <c r="B47" t="inlineStr">
        <is>
          <t>UWWTP BATH</t>
        </is>
      </c>
      <c r="C47" t="n">
        <v>1145.54</v>
      </c>
      <c r="D47" t="n">
        <v>3372.73</v>
      </c>
      <c r="E47" t="n">
        <v>0.4092442458874561</v>
      </c>
      <c r="F47" t="n">
        <v>2.898913126842752</v>
      </c>
      <c r="G47" t="n">
        <v>5.525004496052177</v>
      </c>
      <c r="H47" t="n">
        <v>6069.52208696931</v>
      </c>
      <c r="I47" t="n">
        <v>92.30407142439964</v>
      </c>
      <c r="J47" t="n">
        <v>715</v>
      </c>
    </row>
    <row r="48">
      <c r="A48" t="inlineStr">
        <is>
          <t>NL16010</t>
        </is>
      </c>
      <c r="B48" t="inlineStr">
        <is>
          <t>UWWTP KRALINGSEVEER</t>
        </is>
      </c>
      <c r="C48" t="n">
        <v>1140.51</v>
      </c>
      <c r="D48" t="n">
        <v>3393.69</v>
      </c>
      <c r="E48" t="n">
        <v>0.4123529298208396</v>
      </c>
      <c r="F48" t="n">
        <v>2.897247788045235</v>
      </c>
      <c r="G48" t="n">
        <v>5.522546415736077</v>
      </c>
      <c r="H48" t="n">
        <v>6064.392052275772</v>
      </c>
      <c r="I48" t="n">
        <v>92.18640027245617</v>
      </c>
      <c r="J48" t="n">
        <v>711</v>
      </c>
    </row>
    <row r="49">
      <c r="A49" t="inlineStr">
        <is>
          <t>PLPM0110</t>
        </is>
      </c>
      <c r="B49" t="inlineStr">
        <is>
          <t>International Paper-Kwidzyn Sp z o.o.</t>
        </is>
      </c>
      <c r="C49" t="n">
        <v>1083.2</v>
      </c>
      <c r="D49" t="n">
        <v>2796.46</v>
      </c>
      <c r="E49" t="n">
        <v>0.4052416094462737</v>
      </c>
      <c r="F49" t="n">
        <v>3.298258714168609</v>
      </c>
      <c r="G49" t="n">
        <v>6.136048990107634</v>
      </c>
      <c r="H49" t="n">
        <v>5862.564291626263</v>
      </c>
      <c r="I49" t="n">
        <v>89.22447218239434</v>
      </c>
      <c r="J49" t="n">
        <v>707</v>
      </c>
    </row>
    <row r="50">
      <c r="A50" t="inlineStr">
        <is>
          <t>PLLO0010</t>
        </is>
      </c>
      <c r="B50" t="inlineStr">
        <is>
          <t>Goś Łam</t>
        </is>
      </c>
      <c r="C50" t="n">
        <v>1143.64</v>
      </c>
      <c r="D50" t="n">
        <v>2541.11</v>
      </c>
      <c r="E50" t="n">
        <v>0.4267574264131074</v>
      </c>
      <c r="F50" t="n">
        <v>3.399999385204735</v>
      </c>
      <c r="G50" t="n">
        <v>6.38917238128598</v>
      </c>
      <c r="H50" t="n">
        <v>5665.859347373993</v>
      </c>
      <c r="I50" t="n">
        <v>86.22655981003724</v>
      </c>
      <c r="J50" t="n">
        <v>924</v>
      </c>
    </row>
    <row r="51">
      <c r="A51" t="inlineStr">
        <is>
          <t>PLKP0011</t>
        </is>
      </c>
      <c r="B51" t="inlineStr">
        <is>
          <t>Toruń Centralna Oczyszczalnia Ścieków</t>
        </is>
      </c>
      <c r="C51" t="n">
        <v>1101.03</v>
      </c>
      <c r="D51" t="n">
        <v>2642.74</v>
      </c>
      <c r="E51" t="n">
        <v>0.4055637711622538</v>
      </c>
      <c r="F51" t="n">
        <v>3.301173828260648</v>
      </c>
      <c r="G51" t="n">
        <v>6.303949349650138</v>
      </c>
      <c r="H51" t="n">
        <v>5705.493964575726</v>
      </c>
      <c r="I51" t="n">
        <v>86.87682660744782</v>
      </c>
      <c r="J51" t="n">
        <v>828</v>
      </c>
    </row>
    <row r="52">
      <c r="A52" t="inlineStr">
        <is>
          <t>DETP_BE01</t>
        </is>
      </c>
      <c r="B52" t="inlineStr">
        <is>
          <t>Ruhleben</t>
        </is>
      </c>
      <c r="C52" t="n">
        <v>1120.44</v>
      </c>
      <c r="D52" t="n">
        <v>2567.61</v>
      </c>
      <c r="E52" t="n">
        <v>0.4439994491599152</v>
      </c>
      <c r="F52" t="n">
        <v>3.500098836561937</v>
      </c>
      <c r="G52" t="n">
        <v>6.282118010800594</v>
      </c>
      <c r="H52" t="n">
        <v>5705.469941194357</v>
      </c>
      <c r="I52" t="n">
        <v>86.84811403546942</v>
      </c>
      <c r="J52" t="n">
        <v>848</v>
      </c>
    </row>
    <row r="53">
      <c r="A53" t="inlineStr">
        <is>
          <t>DETP_BW2215100000002</t>
        </is>
      </c>
      <c r="B53" t="inlineStr">
        <is>
          <t>SKA AZV Heidelberg</t>
        </is>
      </c>
      <c r="C53" t="n">
        <v>1202.51</v>
      </c>
      <c r="D53" t="n">
        <v>2052.73</v>
      </c>
      <c r="E53" t="n">
        <v>0.5007952159920035</v>
      </c>
      <c r="F53" t="n">
        <v>3.799972230020375</v>
      </c>
      <c r="G53" t="n">
        <v>6.974435071243478</v>
      </c>
      <c r="H53" t="n">
        <v>5213.446541792061</v>
      </c>
      <c r="I53" t="n">
        <v>79.2228403012998</v>
      </c>
      <c r="J53" t="n">
        <v>1278</v>
      </c>
    </row>
    <row r="54">
      <c r="A54" t="inlineStr">
        <is>
          <t>BGWT68134_00_01</t>
        </is>
      </c>
      <c r="B54" t="inlineStr">
        <is>
          <t>UWWTP Sofia</t>
        </is>
      </c>
      <c r="C54" t="n">
        <v>1479.82</v>
      </c>
      <c r="D54" t="n">
        <v>1876.38</v>
      </c>
      <c r="E54" t="n">
        <v>0.5119046993063564</v>
      </c>
      <c r="F54" t="n">
        <v>3.498701508166157</v>
      </c>
      <c r="G54" t="n">
        <v>7.226470150463385</v>
      </c>
      <c r="H54" t="n">
        <v>4896.898297518698</v>
      </c>
      <c r="I54" t="n">
        <v>74.14576176295995</v>
      </c>
      <c r="J54" t="n">
        <v>1603</v>
      </c>
    </row>
    <row r="55">
      <c r="A55" t="inlineStr">
        <is>
          <t>PLPM0010</t>
        </is>
      </c>
      <c r="B55" t="inlineStr">
        <is>
          <t>Gdańsk-Wschód</t>
        </is>
      </c>
      <c r="C55" t="n">
        <v>1171.18</v>
      </c>
      <c r="D55" t="n">
        <v>4448.04</v>
      </c>
      <c r="E55" t="n">
        <v>0.3355954878252138</v>
      </c>
      <c r="F55" t="n">
        <v>2.195995822023234</v>
      </c>
      <c r="G55" t="n">
        <v>4.736392104393524</v>
      </c>
      <c r="H55" t="n">
        <v>6381.307557506321</v>
      </c>
      <c r="I55" t="n">
        <v>96.87733289490509</v>
      </c>
      <c r="J55" t="n">
        <v>584</v>
      </c>
    </row>
    <row r="56">
      <c r="A56" t="inlineStr">
        <is>
          <t>DETP_HE064120006011</t>
        </is>
      </c>
      <c r="B56" t="inlineStr">
        <is>
          <t>Frankfurt am Main / Sindlingen</t>
        </is>
      </c>
      <c r="C56" t="n">
        <v>1198.21</v>
      </c>
      <c r="D56" t="n">
        <v>2067.31</v>
      </c>
      <c r="E56" t="n">
        <v>0.4918857992680107</v>
      </c>
      <c r="F56" t="n">
        <v>3.897501704807991</v>
      </c>
      <c r="G56" t="n">
        <v>6.95280220158493</v>
      </c>
      <c r="H56" t="n">
        <v>5329.021404674301</v>
      </c>
      <c r="I56" t="n">
        <v>81.03736173687254</v>
      </c>
      <c r="J56" t="n">
        <v>1099</v>
      </c>
    </row>
    <row r="57">
      <c r="A57" t="inlineStr">
        <is>
          <t>ES1210410001010E</t>
        </is>
      </c>
      <c r="B57" t="inlineStr">
        <is>
          <t>HUELVA</t>
        </is>
      </c>
      <c r="C57" t="n">
        <v>1744.95</v>
      </c>
      <c r="D57" t="n">
        <v>3486.07</v>
      </c>
      <c r="E57" t="n">
        <v>0.4770423247539328</v>
      </c>
      <c r="F57" t="n">
        <v>2.700749861793097</v>
      </c>
      <c r="G57" t="n">
        <v>5.024145655684971</v>
      </c>
      <c r="H57" t="n">
        <v>6257.959322460953</v>
      </c>
      <c r="I57" t="n">
        <v>94.97379757291108</v>
      </c>
      <c r="J57" t="n">
        <v>918</v>
      </c>
    </row>
    <row r="58">
      <c r="A58" t="inlineStr">
        <is>
          <t>IT05000000000213</t>
        </is>
      </c>
      <c r="B58" t="inlineStr">
        <is>
          <t>Venezia_Fusina_Via_Dei_Cantieri</t>
        </is>
      </c>
      <c r="C58" t="n">
        <v>1325.65</v>
      </c>
      <c r="D58" t="n">
        <v>1583.62</v>
      </c>
      <c r="E58" t="n">
        <v>0.6046009510879025</v>
      </c>
      <c r="F58" t="n">
        <v>3.699302311616989</v>
      </c>
      <c r="G58" t="n">
        <v>7.970306751178228</v>
      </c>
      <c r="H58" t="n">
        <v>4368.068809020179</v>
      </c>
      <c r="I58" t="n">
        <v>65.85281147014796</v>
      </c>
      <c r="J58" t="n">
        <v>2826</v>
      </c>
    </row>
    <row r="59">
      <c r="A59" t="inlineStr">
        <is>
          <t>NL31005</t>
        </is>
      </c>
      <c r="B59" t="inlineStr">
        <is>
          <t>UWWTP AMSTERDAN-WESTPOORT</t>
        </is>
      </c>
      <c r="C59" t="n">
        <v>1132.02</v>
      </c>
      <c r="D59" t="n">
        <v>3808.13</v>
      </c>
      <c r="E59" t="n">
        <v>0.390673468198466</v>
      </c>
      <c r="F59" t="n">
        <v>2.601187877170917</v>
      </c>
      <c r="G59" t="n">
        <v>5.197799020545109</v>
      </c>
      <c r="H59" t="n">
        <v>6162.726586353741</v>
      </c>
      <c r="I59" t="n">
        <v>93.6354311254121</v>
      </c>
      <c r="J59" t="n">
        <v>665</v>
      </c>
    </row>
    <row r="60">
      <c r="A60" t="inlineStr">
        <is>
          <t>NL15008</t>
        </is>
      </c>
      <c r="B60" t="inlineStr">
        <is>
          <t>UWWTP HARNASCHPOLDER</t>
        </is>
      </c>
      <c r="C60" t="n">
        <v>1227.88</v>
      </c>
      <c r="D60" t="n">
        <v>4725.3</v>
      </c>
      <c r="E60" t="n">
        <v>0.3444034747022685</v>
      </c>
      <c r="F60" t="n">
        <v>2.098778110626391</v>
      </c>
      <c r="G60" t="n">
        <v>4.561782613571829</v>
      </c>
      <c r="H60" t="n">
        <v>6472.643299094117</v>
      </c>
      <c r="I60" t="n">
        <v>98.1882681981223</v>
      </c>
      <c r="J60" t="n">
        <v>655</v>
      </c>
    </row>
    <row r="61">
      <c r="A61" t="inlineStr">
        <is>
          <t>UKENTH_TWU_TP000125</t>
        </is>
      </c>
      <c r="B61" t="inlineStr">
        <is>
          <t>LONDON (Riverside STW)</t>
        </is>
      </c>
      <c r="C61" t="n">
        <v>1157.02</v>
      </c>
      <c r="D61" t="n">
        <v>3728.09</v>
      </c>
      <c r="E61" t="n">
        <v>0.3822354899202787</v>
      </c>
      <c r="F61" t="n">
        <v>2.69719385234144</v>
      </c>
      <c r="G61" t="n">
        <v>5.241412656939381</v>
      </c>
      <c r="H61" t="n">
        <v>6242.454652535412</v>
      </c>
      <c r="I61" t="n">
        <v>94.90460880319833</v>
      </c>
      <c r="J61" t="n">
        <v>603</v>
      </c>
    </row>
    <row r="62">
      <c r="A62" t="inlineStr">
        <is>
          <t>UKENNE_YW_TP000095</t>
        </is>
      </c>
      <c r="B62" t="inlineStr">
        <is>
          <t>HULL STW</t>
        </is>
      </c>
      <c r="C62" t="n">
        <v>1057.02</v>
      </c>
      <c r="D62" t="n">
        <v>4051.17</v>
      </c>
      <c r="E62" t="n">
        <v>0.3359902201382096</v>
      </c>
      <c r="F62" t="n">
        <v>2.396550785635354</v>
      </c>
      <c r="G62" t="n">
        <v>5.027681377376223</v>
      </c>
      <c r="H62" t="n">
        <v>6261.512383656926</v>
      </c>
      <c r="I62" t="n">
        <v>95.12605494518849</v>
      </c>
      <c r="J62" t="n">
        <v>563</v>
      </c>
    </row>
    <row r="63">
      <c r="A63" t="inlineStr">
        <is>
          <t>DETP_NW1</t>
        </is>
      </c>
      <c r="B63" t="inlineStr">
        <is>
          <t>Aachen-Soers</t>
        </is>
      </c>
      <c r="C63" t="n">
        <v>1158.11</v>
      </c>
      <c r="D63" t="n">
        <v>2819.85</v>
      </c>
      <c r="E63" t="n">
        <v>0.4603012801575749</v>
      </c>
      <c r="F63" t="n">
        <v>3.299636514574697</v>
      </c>
      <c r="G63" t="n">
        <v>5.957497061841857</v>
      </c>
      <c r="H63" t="n">
        <v>5780.738256318064</v>
      </c>
      <c r="I63" t="n">
        <v>87.90952313214264</v>
      </c>
      <c r="J63" t="n">
        <v>859</v>
      </c>
    </row>
    <row r="64">
      <c r="A64" t="inlineStr">
        <is>
          <t>HU-WWTP-AIA440</t>
        </is>
      </c>
      <c r="B64" t="inlineStr">
        <is>
          <t>Budapest (Eszak Pest) - Szennyviztisztito Telep</t>
        </is>
      </c>
      <c r="C64" t="n">
        <v>1299.73</v>
      </c>
      <c r="D64" t="n">
        <v>3095.09</v>
      </c>
      <c r="E64" t="n">
        <v>0.4787101526586407</v>
      </c>
      <c r="F64" t="n">
        <v>3.000677815120284</v>
      </c>
      <c r="G64" t="n">
        <v>5.717011761978809</v>
      </c>
      <c r="H64" t="n">
        <v>5788.52454012841</v>
      </c>
      <c r="I64" t="n">
        <v>87.89445033240834</v>
      </c>
      <c r="J64" t="n">
        <v>1130</v>
      </c>
    </row>
    <row r="65">
      <c r="A65" t="inlineStr">
        <is>
          <t>IT08000000000007</t>
        </is>
      </c>
      <c r="B65" t="inlineStr">
        <is>
          <t>Bologna_Corticella</t>
        </is>
      </c>
      <c r="C65" t="n">
        <v>1378.37</v>
      </c>
      <c r="D65" t="n">
        <v>2026.23</v>
      </c>
      <c r="E65" t="n">
        <v>0.550684566330789</v>
      </c>
      <c r="F65" t="n">
        <v>3.597729437011258</v>
      </c>
      <c r="G65" t="n">
        <v>6.973931497884257</v>
      </c>
      <c r="H65" t="n">
        <v>5045.564746190601</v>
      </c>
      <c r="I65" t="n">
        <v>76.39936194816498</v>
      </c>
      <c r="J65" t="n">
        <v>2003</v>
      </c>
    </row>
    <row r="66">
      <c r="A66" t="inlineStr">
        <is>
          <t>PLPM0020</t>
        </is>
      </c>
      <c r="B66" t="inlineStr">
        <is>
          <t>Goś Dębogórze</t>
        </is>
      </c>
      <c r="C66" t="n">
        <v>1169.14</v>
      </c>
      <c r="D66" t="n">
        <v>4590.95</v>
      </c>
      <c r="E66" t="n">
        <v>0.3187850799808549</v>
      </c>
      <c r="F66" t="n">
        <v>2.09959013738752</v>
      </c>
      <c r="G66" t="n">
        <v>4.656970890339578</v>
      </c>
      <c r="H66" t="n">
        <v>6400.20186205917</v>
      </c>
      <c r="I66" t="n">
        <v>97.12755499029193</v>
      </c>
      <c r="J66" t="n">
        <v>598</v>
      </c>
    </row>
    <row r="67">
      <c r="A67" t="inlineStr">
        <is>
          <t>DETP_ST152611000039</t>
        </is>
      </c>
      <c r="B67" t="inlineStr">
        <is>
          <t>Schkopau</t>
        </is>
      </c>
      <c r="C67" t="n">
        <v>1182.22</v>
      </c>
      <c r="D67" t="n">
        <v>2391.81</v>
      </c>
      <c r="E67" t="n">
        <v>0.475830988571009</v>
      </c>
      <c r="F67" t="n">
        <v>3.600001030182305</v>
      </c>
      <c r="G67" t="n">
        <v>6.468616451519119</v>
      </c>
      <c r="H67" t="n">
        <v>5531.292700487844</v>
      </c>
      <c r="I67" t="n">
        <v>84.12778073458574</v>
      </c>
      <c r="J67" t="n">
        <v>1023</v>
      </c>
    </row>
    <row r="68">
      <c r="A68" t="inlineStr">
        <is>
          <t>HRUWWTP_0004008_001</t>
        </is>
      </c>
      <c r="B68" t="inlineStr">
        <is>
          <t>Zagreb</t>
        </is>
      </c>
      <c r="C68" t="n">
        <v>1313.49</v>
      </c>
      <c r="D68" t="n">
        <v>2354.4</v>
      </c>
      <c r="E68" t="n">
        <v>0.5014025526988525</v>
      </c>
      <c r="F68" t="n">
        <v>3.399986063808426</v>
      </c>
      <c r="G68" t="n">
        <v>6.600307872910268</v>
      </c>
      <c r="H68" t="n">
        <v>5299.033855105721</v>
      </c>
      <c r="I68" t="n">
        <v>80.37390634755819</v>
      </c>
      <c r="J68" t="n">
        <v>1646</v>
      </c>
    </row>
    <row r="69">
      <c r="A69" t="inlineStr">
        <is>
          <t>UKENTH_TWU_TP000102</t>
        </is>
      </c>
      <c r="B69" t="inlineStr">
        <is>
          <t>LONDON (Long Reach STW)</t>
        </is>
      </c>
      <c r="C69" t="n">
        <v>1160.78</v>
      </c>
      <c r="D69" t="n">
        <v>3747.94</v>
      </c>
      <c r="E69" t="n">
        <v>0.3682922019268786</v>
      </c>
      <c r="F69" t="n">
        <v>2.603566223581023</v>
      </c>
      <c r="G69" t="n">
        <v>5.228595141867787</v>
      </c>
      <c r="H69" t="n">
        <v>6182.744413380272</v>
      </c>
      <c r="I69" t="n">
        <v>94.02292575708333</v>
      </c>
      <c r="J69" t="n">
        <v>594</v>
      </c>
    </row>
    <row r="70">
      <c r="A70" t="inlineStr">
        <is>
          <t>PLLO0030</t>
        </is>
      </c>
      <c r="B70" t="inlineStr">
        <is>
          <t>Kutno</t>
        </is>
      </c>
      <c r="C70" t="n">
        <v>1130.69</v>
      </c>
      <c r="D70" t="n">
        <v>2544.59</v>
      </c>
      <c r="E70" t="n">
        <v>0.4238725803167068</v>
      </c>
      <c r="F70" t="n">
        <v>3.400407593547109</v>
      </c>
      <c r="G70" t="n">
        <v>6.39869027708919</v>
      </c>
      <c r="H70" t="n">
        <v>5664.502983276632</v>
      </c>
      <c r="I70" t="n">
        <v>86.22739781948734</v>
      </c>
      <c r="J70" t="n">
        <v>888</v>
      </c>
    </row>
    <row r="71">
      <c r="A71" t="inlineStr">
        <is>
          <t>FR026830000459</t>
        </is>
      </c>
      <c r="B71" t="inlineStr">
        <is>
          <t>SAUSHEIM</t>
        </is>
      </c>
      <c r="C71" t="n">
        <v>1286.53</v>
      </c>
      <c r="D71" t="n">
        <v>1841.65</v>
      </c>
      <c r="E71" t="n">
        <v>0.5258258285977383</v>
      </c>
      <c r="F71" t="n">
        <v>3.699880156748389</v>
      </c>
      <c r="G71" t="n">
        <v>7.577379639625581</v>
      </c>
      <c r="H71" t="n">
        <v>4780.057953594547</v>
      </c>
      <c r="I71" t="n">
        <v>72.36860228979424</v>
      </c>
      <c r="J71" t="n">
        <v>1651</v>
      </c>
    </row>
    <row r="72">
      <c r="A72" t="inlineStr">
        <is>
          <t>RO7BV_511</t>
        </is>
      </c>
      <c r="B72" t="inlineStr">
        <is>
          <t>ROWP SC COMPANIA APA SA Brasov</t>
        </is>
      </c>
      <c r="C72" t="n">
        <v>1372.07</v>
      </c>
      <c r="D72" t="n">
        <v>2334.16</v>
      </c>
      <c r="E72" t="n">
        <v>0.4826218798968515</v>
      </c>
      <c r="F72" t="n">
        <v>3.398276277268977</v>
      </c>
      <c r="G72" t="n">
        <v>6.66241729798965</v>
      </c>
      <c r="H72" t="n">
        <v>5295.682582779874</v>
      </c>
      <c r="I72" t="n">
        <v>80.37396814983487</v>
      </c>
      <c r="J72" t="n">
        <v>1343</v>
      </c>
    </row>
    <row r="73">
      <c r="A73" t="inlineStr">
        <is>
          <t>ATTP_5-A1699622R154</t>
        </is>
      </c>
      <c r="B73" t="inlineStr">
        <is>
          <t>ARA Siggerwiesen</t>
        </is>
      </c>
      <c r="C73" t="n">
        <v>1258.53</v>
      </c>
      <c r="D73" t="n">
        <v>1919.02</v>
      </c>
      <c r="E73" t="n">
        <v>0.525069928044178</v>
      </c>
      <c r="F73" t="n">
        <v>3.699979937613684</v>
      </c>
      <c r="G73" t="n">
        <v>7.348819280937463</v>
      </c>
      <c r="H73" t="n">
        <v>4926.574790851857</v>
      </c>
      <c r="I73" t="n">
        <v>74.65112170443307</v>
      </c>
      <c r="J73" t="n">
        <v>1818</v>
      </c>
    </row>
    <row r="74">
      <c r="A74" t="inlineStr">
        <is>
          <t>ES10030140002012E</t>
        </is>
      </c>
      <c r="B74" t="inlineStr">
        <is>
          <t>RINCON DE LEON</t>
        </is>
      </c>
      <c r="C74" t="n">
        <v>1616.83</v>
      </c>
      <c r="D74" t="n">
        <v>2707.13</v>
      </c>
      <c r="E74" t="n">
        <v>0.5452301869636238</v>
      </c>
      <c r="F74" t="n">
        <v>2.997266409729874</v>
      </c>
      <c r="G74" t="n">
        <v>5.966632545052596</v>
      </c>
      <c r="H74" t="n">
        <v>5388.101347599292</v>
      </c>
      <c r="I74" t="n">
        <v>81.479364291332</v>
      </c>
      <c r="J74" t="n">
        <v>1778</v>
      </c>
    </row>
    <row r="75">
      <c r="A75" t="inlineStr">
        <is>
          <t>DETP_BW1115100000001</t>
        </is>
      </c>
      <c r="B75" t="inlineStr">
        <is>
          <t>Hauptklärwerk Mühlhausen</t>
        </is>
      </c>
      <c r="C75" t="n">
        <v>1242.36</v>
      </c>
      <c r="D75" t="n">
        <v>2074.98</v>
      </c>
      <c r="E75" t="n">
        <v>0.5142974702535608</v>
      </c>
      <c r="F75" t="n">
        <v>3.798732481768156</v>
      </c>
      <c r="G75" t="n">
        <v>6.883622218397612</v>
      </c>
      <c r="H75" t="n">
        <v>5240.307132334528</v>
      </c>
      <c r="I75" t="n">
        <v>79.60535589198513</v>
      </c>
      <c r="J75" t="n">
        <v>1299</v>
      </c>
    </row>
    <row r="76">
      <c r="A76" t="inlineStr">
        <is>
          <t>DETP_NI201000201</t>
        </is>
      </c>
      <c r="B76" t="inlineStr">
        <is>
          <t>2530002102 KA Herrenhausen</t>
        </is>
      </c>
      <c r="C76" t="n">
        <v>1111.03</v>
      </c>
      <c r="D76" t="n">
        <v>2692.25</v>
      </c>
      <c r="E76" t="n">
        <v>0.4506899484750799</v>
      </c>
      <c r="F76" t="n">
        <v>3.400271496919661</v>
      </c>
      <c r="G76" t="n">
        <v>6.158485525856937</v>
      </c>
      <c r="H76" t="n">
        <v>5709.175409010134</v>
      </c>
      <c r="I76" t="n">
        <v>86.88022530455368</v>
      </c>
      <c r="J76" t="n">
        <v>869</v>
      </c>
    </row>
    <row r="77">
      <c r="A77" t="inlineStr">
        <is>
          <t>FR037649801000</t>
        </is>
      </c>
      <c r="B77" t="inlineStr">
        <is>
          <t>ROUEN</t>
        </is>
      </c>
      <c r="C77" t="n">
        <v>1195.27</v>
      </c>
      <c r="D77" t="n">
        <v>3385.7</v>
      </c>
      <c r="E77" t="n">
        <v>0.4198666654731061</v>
      </c>
      <c r="F77" t="n">
        <v>2.900997410197728</v>
      </c>
      <c r="G77" t="n">
        <v>5.486073517187499</v>
      </c>
      <c r="H77" t="n">
        <v>6085.198803792204</v>
      </c>
      <c r="I77" t="n">
        <v>92.54175794214551</v>
      </c>
      <c r="J77" t="n">
        <v>683</v>
      </c>
    </row>
    <row r="78">
      <c r="A78" t="inlineStr">
        <is>
          <t>UKENTH_TWU_TP000014</t>
        </is>
      </c>
      <c r="B78" t="inlineStr">
        <is>
          <t>LONDON (Becton STW)</t>
        </is>
      </c>
      <c r="C78" t="n">
        <v>1155.37</v>
      </c>
      <c r="D78" t="n">
        <v>3717.41</v>
      </c>
      <c r="E78" t="n">
        <v>0.3793118258317179</v>
      </c>
      <c r="F78" t="n">
        <v>2.697895262457715</v>
      </c>
      <c r="G78" t="n">
        <v>5.248473958332567</v>
      </c>
      <c r="H78" t="n">
        <v>6242.486114795504</v>
      </c>
      <c r="I78" t="n">
        <v>94.91034530260606</v>
      </c>
      <c r="J78" t="n">
        <v>605</v>
      </c>
    </row>
    <row r="79">
      <c r="A79" t="inlineStr">
        <is>
          <t>DETP_SH56027</t>
        </is>
      </c>
      <c r="B79" t="inlineStr">
        <is>
          <t>Hetlingen</t>
        </is>
      </c>
      <c r="C79" t="n">
        <v>1077.7</v>
      </c>
      <c r="D79" t="n">
        <v>3002.04</v>
      </c>
      <c r="E79" t="n">
        <v>0.4210662622673149</v>
      </c>
      <c r="F79" t="n">
        <v>3.209665587232119</v>
      </c>
      <c r="G79" t="n">
        <v>5.817065368637412</v>
      </c>
      <c r="H79" t="n">
        <v>5953.603253405144</v>
      </c>
      <c r="I79" t="n">
        <v>90.61026496367435</v>
      </c>
      <c r="J79" t="n">
        <v>704</v>
      </c>
    </row>
    <row r="80">
      <c r="A80" t="inlineStr">
        <is>
          <t>ES9082110001010E</t>
        </is>
      </c>
      <c r="B80" t="inlineStr">
        <is>
          <t>SANT FELIU DE LLOBREGAT</t>
        </is>
      </c>
      <c r="C80" t="n">
        <v>1518.81</v>
      </c>
      <c r="D80" t="n">
        <v>2078.17</v>
      </c>
      <c r="E80" t="n">
        <v>0.5775528148631289</v>
      </c>
      <c r="F80" t="n">
        <v>3.156474717382796</v>
      </c>
      <c r="G80" t="n">
        <v>7.037971586891248</v>
      </c>
      <c r="H80" t="n">
        <v>4625.346120688576</v>
      </c>
      <c r="I80" t="n">
        <v>69.72663860666157</v>
      </c>
      <c r="J80" t="n">
        <v>2512</v>
      </c>
    </row>
    <row r="81">
      <c r="A81" t="inlineStr">
        <is>
          <t>ES1410910002013E</t>
        </is>
      </c>
      <c r="B81" t="inlineStr">
        <is>
          <t>LA RANILLA</t>
        </is>
      </c>
      <c r="C81" t="n">
        <v>1609.22</v>
      </c>
      <c r="D81" t="n">
        <v>2766.31</v>
      </c>
      <c r="E81" t="n">
        <v>0.5030342232402147</v>
      </c>
      <c r="F81" t="n">
        <v>3.099309230147765</v>
      </c>
      <c r="G81" t="n">
        <v>5.729385825585835</v>
      </c>
      <c r="H81" t="n">
        <v>5811.520766648621</v>
      </c>
      <c r="I81" t="n">
        <v>88.12054535387415</v>
      </c>
      <c r="J81" t="n">
        <v>1412</v>
      </c>
    </row>
    <row r="82">
      <c r="A82" t="inlineStr">
        <is>
          <t>ATTP_3-11</t>
        </is>
      </c>
      <c r="B82" t="inlineStr">
        <is>
          <t>ARA AWV Schwechat</t>
        </is>
      </c>
      <c r="C82" t="n">
        <v>1285.9</v>
      </c>
      <c r="D82" t="n">
        <v>3572.67</v>
      </c>
      <c r="E82" t="n">
        <v>0.4759000839916304</v>
      </c>
      <c r="F82" t="n">
        <v>2.899319655259633</v>
      </c>
      <c r="G82" t="n">
        <v>5.371396507652746</v>
      </c>
      <c r="H82" t="n">
        <v>6069.774253636897</v>
      </c>
      <c r="I82" t="n">
        <v>92.05542410957104</v>
      </c>
      <c r="J82" t="n">
        <v>1076</v>
      </c>
    </row>
    <row r="83">
      <c r="A83" t="inlineStr">
        <is>
          <t>EL300001011</t>
        </is>
      </c>
      <c r="B83" t="inlineStr">
        <is>
          <t>PSYTTALIA</t>
        </is>
      </c>
      <c r="C83" t="n">
        <v>1577.03</v>
      </c>
      <c r="D83" t="n">
        <v>3393.43</v>
      </c>
      <c r="E83" t="n">
        <v>0.5098501538561956</v>
      </c>
      <c r="F83" t="n">
        <v>2.797676119298043</v>
      </c>
      <c r="G83" t="n">
        <v>5.58093253225474</v>
      </c>
      <c r="H83" t="n">
        <v>5659.47833824952</v>
      </c>
      <c r="I83" t="n">
        <v>85.66535906470784</v>
      </c>
      <c r="J83" t="n">
        <v>1335</v>
      </c>
    </row>
    <row r="84">
      <c r="A84" t="inlineStr">
        <is>
          <t>BERW6207901</t>
        </is>
      </c>
      <c r="B84" t="inlineStr">
        <is>
          <t>LIEGE OUPEYE</t>
        </is>
      </c>
      <c r="C84" t="n">
        <v>1152.79</v>
      </c>
      <c r="D84" t="n">
        <v>3016.02</v>
      </c>
      <c r="E84" t="n">
        <v>0.4327894316950922</v>
      </c>
      <c r="F84" t="n">
        <v>3.10005515603771</v>
      </c>
      <c r="G84" t="n">
        <v>5.86213772643869</v>
      </c>
      <c r="H84" t="n">
        <v>5860.786734478243</v>
      </c>
      <c r="I84" t="n">
        <v>89.12488906815814</v>
      </c>
      <c r="J84" t="n">
        <v>850</v>
      </c>
    </row>
    <row r="85">
      <c r="A85" t="inlineStr">
        <is>
          <t>DETP_NW35</t>
        </is>
      </c>
      <c r="B85" t="inlineStr">
        <is>
          <t>Düren</t>
        </is>
      </c>
      <c r="C85" t="n">
        <v>1165.38</v>
      </c>
      <c r="D85" t="n">
        <v>2719.35</v>
      </c>
      <c r="E85" t="n">
        <v>0.4653356399469376</v>
      </c>
      <c r="F85" t="n">
        <v>3.398325857392683</v>
      </c>
      <c r="G85" t="n">
        <v>6.056419770979958</v>
      </c>
      <c r="H85" t="n">
        <v>5760.894364448142</v>
      </c>
      <c r="I85" t="n">
        <v>87.6022473440723</v>
      </c>
      <c r="J85" t="n">
        <v>874</v>
      </c>
    </row>
    <row r="86">
      <c r="A86" t="inlineStr">
        <is>
          <t>IETP_D0034</t>
        </is>
      </c>
      <c r="B86" t="inlineStr">
        <is>
          <t>Ringsend</t>
        </is>
      </c>
      <c r="C86" t="n">
        <v>1122.55</v>
      </c>
      <c r="D86" t="n">
        <v>5074.67</v>
      </c>
      <c r="E86" t="n">
        <v>0</v>
      </c>
      <c r="F86" t="n">
        <v>1.46467830754759</v>
      </c>
      <c r="G86" t="n">
        <v>4.283797221771881</v>
      </c>
      <c r="H86" t="n">
        <v>6380.147794786871</v>
      </c>
      <c r="I86" t="n">
        <v>96.55570043709302</v>
      </c>
      <c r="J86" t="n">
        <v>669</v>
      </c>
    </row>
    <row r="87">
      <c r="A87" t="inlineStr">
        <is>
          <t>UKENAN_AW_TP000308</t>
        </is>
      </c>
      <c r="B87" t="inlineStr">
        <is>
          <t>TILBURY STW, TILBURY, ESSEX"</t>
        </is>
      </c>
      <c r="C87" t="n">
        <v>1245.58</v>
      </c>
      <c r="D87" t="n">
        <v>4646.74</v>
      </c>
      <c r="E87" t="n">
        <v>0.3208024688013677</v>
      </c>
      <c r="F87" t="n">
        <v>2.101590437415936</v>
      </c>
      <c r="G87" t="n">
        <v>4.586713141594204</v>
      </c>
      <c r="H87" t="n">
        <v>6494.244930793258</v>
      </c>
      <c r="I87" t="n">
        <v>98.58391267535434</v>
      </c>
      <c r="J87" t="n">
        <v>520</v>
      </c>
    </row>
    <row r="88">
      <c r="A88" t="inlineStr">
        <is>
          <t>DETP_NW316</t>
        </is>
      </c>
      <c r="B88" t="inlineStr">
        <is>
          <t>Abwasserverband Obere Lutter</t>
        </is>
      </c>
      <c r="C88" t="n">
        <v>1115.54</v>
      </c>
      <c r="D88" t="n">
        <v>2672.68</v>
      </c>
      <c r="E88" t="n">
        <v>0.4540583235941342</v>
      </c>
      <c r="F88" t="n">
        <v>3.400415766717205</v>
      </c>
      <c r="G88" t="n">
        <v>6.159128347031753</v>
      </c>
      <c r="H88" t="n">
        <v>5699.020714417209</v>
      </c>
      <c r="I88" t="n">
        <v>86.71140562023588</v>
      </c>
      <c r="J88" t="n">
        <v>908</v>
      </c>
    </row>
    <row r="89">
      <c r="A89" t="inlineStr">
        <is>
          <t>FR026751900405</t>
        </is>
      </c>
      <c r="B89" t="inlineStr">
        <is>
          <t>STRASBOURG - LA WANTZENAU</t>
        </is>
      </c>
      <c r="C89" t="n">
        <v>1241.94</v>
      </c>
      <c r="D89" t="n">
        <v>1926</v>
      </c>
      <c r="E89" t="n">
        <v>0.5026132693372926</v>
      </c>
      <c r="F89" t="n">
        <v>3.798781732731936</v>
      </c>
      <c r="G89" t="n">
        <v>7.354696881723309</v>
      </c>
      <c r="H89" t="n">
        <v>5046.322179240394</v>
      </c>
      <c r="I89" t="n">
        <v>76.62556038639377</v>
      </c>
      <c r="J89" t="n">
        <v>1371</v>
      </c>
    </row>
    <row r="90">
      <c r="A90" t="inlineStr">
        <is>
          <t>PLZA0011</t>
        </is>
      </c>
      <c r="B90" t="inlineStr">
        <is>
          <t>Pomorzany</t>
        </is>
      </c>
      <c r="C90" t="n">
        <v>1168.07</v>
      </c>
      <c r="D90" t="n">
        <v>2915.19</v>
      </c>
      <c r="E90" t="n">
        <v>0.3945178271208044</v>
      </c>
      <c r="F90" t="n">
        <v>3.101217920828311</v>
      </c>
      <c r="G90" t="n">
        <v>5.952899710070377</v>
      </c>
      <c r="H90" t="n">
        <v>5873.392999800319</v>
      </c>
      <c r="I90" t="n">
        <v>89.38788792901077</v>
      </c>
      <c r="J90" t="n">
        <v>773</v>
      </c>
    </row>
    <row r="91">
      <c r="A91" t="inlineStr">
        <is>
          <t>DETP_NW1204</t>
        </is>
      </c>
      <c r="B91" t="inlineStr">
        <is>
          <t>Dortmund-Deusen</t>
        </is>
      </c>
      <c r="C91" t="n">
        <v>1124.48</v>
      </c>
      <c r="D91" t="n">
        <v>2713.8</v>
      </c>
      <c r="E91" t="n">
        <v>0.4587644966759981</v>
      </c>
      <c r="F91" t="n">
        <v>3.398971648376849</v>
      </c>
      <c r="G91" t="n">
        <v>6.078395980729923</v>
      </c>
      <c r="H91" t="n">
        <v>5761.10019456413</v>
      </c>
      <c r="I91" t="n">
        <v>87.61403587889583</v>
      </c>
      <c r="J91" t="n">
        <v>924</v>
      </c>
    </row>
    <row r="92">
      <c r="A92" t="inlineStr">
        <is>
          <t>IT19CT00G7001DE001</t>
        </is>
      </c>
      <c r="B92" t="inlineStr">
        <is>
          <t>Impianto_Consortile_Di_Catania</t>
        </is>
      </c>
      <c r="C92" t="n">
        <v>1659.25</v>
      </c>
      <c r="D92" t="n">
        <v>2457.27</v>
      </c>
      <c r="E92" t="n">
        <v>0.5255582181872871</v>
      </c>
      <c r="F92" t="n">
        <v>3.099891757099956</v>
      </c>
      <c r="G92" t="n">
        <v>6.352970055879463</v>
      </c>
      <c r="H92" t="n">
        <v>5198.223884795545</v>
      </c>
      <c r="I92" t="n">
        <v>78.59423260271463</v>
      </c>
      <c r="J92" t="n">
        <v>1692</v>
      </c>
    </row>
    <row r="93">
      <c r="A93" t="inlineStr">
        <is>
          <t>FR060934172001</t>
        </is>
      </c>
      <c r="B93" t="inlineStr">
        <is>
          <t>MAERA (EX CEREIREDE)</t>
        </is>
      </c>
      <c r="C93" t="n">
        <v>1591.45</v>
      </c>
      <c r="D93" t="n">
        <v>3827.6</v>
      </c>
      <c r="E93" t="n">
        <v>0.4825883262839272</v>
      </c>
      <c r="F93" t="n">
        <v>2.599904181986672</v>
      </c>
      <c r="G93" t="n">
        <v>5.050064762041512</v>
      </c>
      <c r="H93" t="n">
        <v>6104.70830885816</v>
      </c>
      <c r="I93" t="n">
        <v>92.54321451400071</v>
      </c>
      <c r="J93" t="n">
        <v>1105</v>
      </c>
    </row>
    <row r="94">
      <c r="A94" t="inlineStr">
        <is>
          <t>NL11014</t>
        </is>
      </c>
      <c r="B94" t="inlineStr">
        <is>
          <t>UWWTP AMSTERDAM-WEST</t>
        </is>
      </c>
      <c r="C94" t="n">
        <v>1132.45</v>
      </c>
      <c r="D94" t="n">
        <v>3807.27</v>
      </c>
      <c r="E94" t="n">
        <v>0.391299345817381</v>
      </c>
      <c r="F94" t="n">
        <v>2.601128947824382</v>
      </c>
      <c r="G94" t="n">
        <v>5.198491531927842</v>
      </c>
      <c r="H94" t="n">
        <v>6160.126621134774</v>
      </c>
      <c r="I94" t="n">
        <v>93.59670579210257</v>
      </c>
      <c r="J94" t="n">
        <v>662</v>
      </c>
    </row>
    <row r="95">
      <c r="A95" t="inlineStr">
        <is>
          <t>ES7240890002010E</t>
        </is>
      </c>
      <c r="B95" t="inlineStr">
        <is>
          <t>LEON</t>
        </is>
      </c>
      <c r="C95" t="n">
        <v>1510.83</v>
      </c>
      <c r="D95" t="n">
        <v>2932.48</v>
      </c>
      <c r="E95" t="n">
        <v>0.4926578463348304</v>
      </c>
      <c r="F95" t="n">
        <v>3.095714709108966</v>
      </c>
      <c r="G95" t="n">
        <v>5.805324324264179</v>
      </c>
      <c r="H95" t="n">
        <v>5756.507647159393</v>
      </c>
      <c r="I95" t="n">
        <v>87.36128352447372</v>
      </c>
      <c r="J95" t="n">
        <v>1237</v>
      </c>
    </row>
    <row r="96">
      <c r="A96" t="inlineStr">
        <is>
          <t>RO5TM_528</t>
        </is>
      </c>
      <c r="B96" t="inlineStr">
        <is>
          <t>ROWP RA Aquatim Timisoara</t>
        </is>
      </c>
      <c r="C96" t="n">
        <v>1309.16</v>
      </c>
      <c r="D96" t="n">
        <v>2955.67</v>
      </c>
      <c r="E96" t="n">
        <v>0.5255320992632653</v>
      </c>
      <c r="F96" t="n">
        <v>3.099598998411525</v>
      </c>
      <c r="G96" t="n">
        <v>5.929762657377068</v>
      </c>
      <c r="H96" t="n">
        <v>5558.232812820961</v>
      </c>
      <c r="I96" t="n">
        <v>84.20056143494675</v>
      </c>
      <c r="J96" t="n">
        <v>1656</v>
      </c>
    </row>
    <row r="97">
      <c r="A97" t="inlineStr">
        <is>
          <t>FR0531555V018</t>
        </is>
      </c>
      <c r="B97" t="inlineStr">
        <is>
          <t>TOULOUSE GINESTOUS</t>
        </is>
      </c>
      <c r="C97" t="n">
        <v>1357.23</v>
      </c>
      <c r="D97" t="n">
        <v>2238.55</v>
      </c>
      <c r="E97" t="n">
        <v>0.4885203577714849</v>
      </c>
      <c r="F97" t="n">
        <v>3.498582185783774</v>
      </c>
      <c r="G97" t="n">
        <v>6.604988142764903</v>
      </c>
      <c r="H97" t="n">
        <v>5409.913314544606</v>
      </c>
      <c r="I97" t="n">
        <v>82.11757845917971</v>
      </c>
      <c r="J97" t="n">
        <v>1369</v>
      </c>
    </row>
    <row r="98">
      <c r="A98" t="inlineStr">
        <is>
          <t>ES10462501014011E</t>
        </is>
      </c>
      <c r="B98" t="inlineStr">
        <is>
          <t>PINEDO 1</t>
        </is>
      </c>
      <c r="C98" t="n">
        <v>1585.06</v>
      </c>
      <c r="D98" t="n">
        <v>2465.48</v>
      </c>
      <c r="E98" t="n">
        <v>0.5802143487349104</v>
      </c>
      <c r="F98" t="n">
        <v>3.097990413586716</v>
      </c>
      <c r="G98" t="n">
        <v>6.286114021568014</v>
      </c>
      <c r="H98" t="n">
        <v>5116.541378234355</v>
      </c>
      <c r="I98" t="n">
        <v>77.23779795366671</v>
      </c>
      <c r="J98" t="n">
        <v>2303</v>
      </c>
    </row>
    <row r="99">
      <c r="A99" t="inlineStr">
        <is>
          <t>IT09RT0017</t>
        </is>
      </c>
      <c r="B99" t="inlineStr">
        <is>
          <t>Idl_San_Colombano</t>
        </is>
      </c>
      <c r="C99" t="n">
        <v>1366.23</v>
      </c>
      <c r="D99" t="n">
        <v>2092.74</v>
      </c>
      <c r="E99" t="n">
        <v>0.5255871264188708</v>
      </c>
      <c r="F99" t="n">
        <v>3.399936952564996</v>
      </c>
      <c r="G99" t="n">
        <v>7.166901920745119</v>
      </c>
      <c r="H99" t="n">
        <v>4828.962321848046</v>
      </c>
      <c r="I99" t="n">
        <v>73.09597657117828</v>
      </c>
      <c r="J99" t="n">
        <v>1640</v>
      </c>
    </row>
    <row r="100">
      <c r="A100" t="inlineStr">
        <is>
          <t>ES10030140002011E</t>
        </is>
      </c>
      <c r="B100" t="inlineStr">
        <is>
          <t>MONTE ORGEGIA</t>
        </is>
      </c>
      <c r="C100" t="n">
        <v>1615.99</v>
      </c>
      <c r="D100" t="n">
        <v>2705.27</v>
      </c>
      <c r="E100" t="n">
        <v>0.5454126481063465</v>
      </c>
      <c r="F100" t="n">
        <v>2.993975896243037</v>
      </c>
      <c r="G100" t="n">
        <v>5.973949600662372</v>
      </c>
      <c r="H100" t="n">
        <v>5378.005770442091</v>
      </c>
      <c r="I100" t="n">
        <v>81.32796986016736</v>
      </c>
      <c r="J100" t="n">
        <v>1761</v>
      </c>
    </row>
    <row r="101">
      <c r="A101" t="inlineStr">
        <is>
          <t>DETP_NW601</t>
        </is>
      </c>
      <c r="B101" t="inlineStr">
        <is>
          <t>Düsseldorf-Süd</t>
        </is>
      </c>
      <c r="C101" t="n">
        <v>1153.83</v>
      </c>
      <c r="D101" t="n">
        <v>2653.83</v>
      </c>
      <c r="E101" t="n">
        <v>0.4673267866547024</v>
      </c>
      <c r="F101" t="n">
        <v>3.49877977935789</v>
      </c>
      <c r="G101" t="n">
        <v>6.113295506353327</v>
      </c>
      <c r="H101" t="n">
        <v>5791.344006477423</v>
      </c>
      <c r="I101" t="n">
        <v>88.06676813740829</v>
      </c>
      <c r="J101" t="n">
        <v>879</v>
      </c>
    </row>
    <row r="102">
      <c r="A102" t="inlineStr">
        <is>
          <t>EL122001013</t>
        </is>
      </c>
      <c r="B102" t="inlineStr">
        <is>
          <t>THESSALONIKI</t>
        </is>
      </c>
      <c r="C102" t="n">
        <v>1581.76</v>
      </c>
      <c r="D102" t="n">
        <v>1868.09</v>
      </c>
      <c r="E102" t="n">
        <v>0.5585723529311868</v>
      </c>
      <c r="F102" t="n">
        <v>3.398379008312193</v>
      </c>
      <c r="G102" t="n">
        <v>7.083075309653396</v>
      </c>
      <c r="H102" t="n">
        <v>4811.258511419886</v>
      </c>
      <c r="I102" t="n">
        <v>72.66952765677821</v>
      </c>
      <c r="J102" t="n">
        <v>2214</v>
      </c>
    </row>
    <row r="103">
      <c r="A103" t="inlineStr">
        <is>
          <t>DETP_NW2104</t>
        </is>
      </c>
      <c r="B103" t="inlineStr">
        <is>
          <t>Mönchengladbach GWK I</t>
        </is>
      </c>
      <c r="C103" t="n">
        <v>1149.97</v>
      </c>
      <c r="D103" t="n">
        <v>2681.25</v>
      </c>
      <c r="E103" t="n">
        <v>0.4574221590038278</v>
      </c>
      <c r="F103" t="n">
        <v>3.400388433706271</v>
      </c>
      <c r="G103" t="n">
        <v>6.089192775426263</v>
      </c>
      <c r="H103" t="n">
        <v>5753.44139256762</v>
      </c>
      <c r="I103" t="n">
        <v>87.54353900216093</v>
      </c>
      <c r="J103" t="n">
        <v>868</v>
      </c>
    </row>
    <row r="104">
      <c r="A104" t="inlineStr">
        <is>
          <t>DK6070012</t>
        </is>
      </c>
      <c r="B104" t="inlineStr">
        <is>
          <t>FREDERICIA CENTRALRENS.</t>
        </is>
      </c>
      <c r="C104" t="n">
        <v>1047.08</v>
      </c>
      <c r="D104" t="n">
        <v>3769.8</v>
      </c>
      <c r="E104" t="n">
        <v>0.3102196020392675</v>
      </c>
      <c r="F104" t="n">
        <v>2.493378799262374</v>
      </c>
      <c r="G104" t="n">
        <v>5.219149107302049</v>
      </c>
      <c r="H104" t="n">
        <v>6210.270606083356</v>
      </c>
      <c r="I104" t="n">
        <v>94.42940474005557</v>
      </c>
      <c r="J104" t="n">
        <v>555</v>
      </c>
    </row>
    <row r="105">
      <c r="A105" t="inlineStr">
        <is>
          <t>UKENTH_TWU_TP000054</t>
        </is>
      </c>
      <c r="B105" t="inlineStr">
        <is>
          <t>LONDON (Deepham STW)</t>
        </is>
      </c>
      <c r="C105" t="n">
        <v>1146.56</v>
      </c>
      <c r="D105" t="n">
        <v>3692.01</v>
      </c>
      <c r="E105" t="n">
        <v>0.3723903703181624</v>
      </c>
      <c r="F105" t="n">
        <v>2.697920180127027</v>
      </c>
      <c r="G105" t="n">
        <v>5.26572510726435</v>
      </c>
      <c r="H105" t="n">
        <v>6239.673749617988</v>
      </c>
      <c r="I105" t="n">
        <v>94.88521630248371</v>
      </c>
      <c r="J105" t="n">
        <v>587</v>
      </c>
    </row>
    <row r="106">
      <c r="A106" t="inlineStr">
        <is>
          <t>ES3330242402020E</t>
        </is>
      </c>
      <c r="B106" t="inlineStr">
        <is>
          <t>GIJON OESTE</t>
        </is>
      </c>
      <c r="C106" t="n">
        <v>1399.86</v>
      </c>
      <c r="D106" t="n">
        <v>3222.56</v>
      </c>
      <c r="E106" t="n">
        <v>0.5263389791380172</v>
      </c>
      <c r="F106" t="n">
        <v>2.8994148418531</v>
      </c>
      <c r="G106" t="n">
        <v>5.711209927265682</v>
      </c>
      <c r="H106" t="n">
        <v>5585.048436807971</v>
      </c>
      <c r="I106" t="n">
        <v>84.51907624010775</v>
      </c>
      <c r="J106" t="n">
        <v>1488</v>
      </c>
    </row>
    <row r="107">
      <c r="A107" t="inlineStr">
        <is>
          <t>FR037800501000</t>
        </is>
      </c>
      <c r="B107" t="inlineStr">
        <is>
          <t>PARIS SEINE AVAL</t>
        </is>
      </c>
      <c r="C107" t="n">
        <v>1196.54</v>
      </c>
      <c r="D107" t="n">
        <v>2966.62</v>
      </c>
      <c r="E107" t="n">
        <v>0.4376878986313507</v>
      </c>
      <c r="F107" t="n">
        <v>3.198076809522</v>
      </c>
      <c r="G107" t="n">
        <v>5.87700036527394</v>
      </c>
      <c r="H107" t="n">
        <v>5928.084248631007</v>
      </c>
      <c r="I107" t="n">
        <v>90.1754544836872</v>
      </c>
      <c r="J107" t="n">
        <v>799</v>
      </c>
    </row>
    <row r="108">
      <c r="A108" t="inlineStr">
        <is>
          <t>CZ4205-763691-26161516-4/1U</t>
        </is>
      </c>
      <c r="B108" t="inlineStr">
        <is>
          <t>COV Steti -Papirny Mondi</t>
        </is>
      </c>
      <c r="C108" t="n">
        <v>1323.18</v>
      </c>
      <c r="D108" t="n">
        <v>2452.93</v>
      </c>
      <c r="E108" t="n">
        <v>0.4507252456873976</v>
      </c>
      <c r="F108" t="n">
        <v>3.399282505789571</v>
      </c>
      <c r="G108" t="n">
        <v>6.435178236823467</v>
      </c>
      <c r="H108" t="n">
        <v>5561.063417285558</v>
      </c>
      <c r="I108" t="n">
        <v>84.5813083631465</v>
      </c>
      <c r="J108" t="n">
        <v>1012</v>
      </c>
    </row>
    <row r="109">
      <c r="A109" t="inlineStr">
        <is>
          <t>PLLE0010</t>
        </is>
      </c>
      <c r="B109" t="inlineStr">
        <is>
          <t>Lublin-Hajdów</t>
        </is>
      </c>
      <c r="C109" t="n">
        <v>1153.39</v>
      </c>
      <c r="D109" t="n">
        <v>2468.49</v>
      </c>
      <c r="E109" t="n">
        <v>0.4276529073504564</v>
      </c>
      <c r="F109" t="n">
        <v>3.499274415154772</v>
      </c>
      <c r="G109" t="n">
        <v>6.453997859298312</v>
      </c>
      <c r="H109" t="n">
        <v>5695.758380883263</v>
      </c>
      <c r="I109" t="n">
        <v>86.70343903121397</v>
      </c>
      <c r="J109" t="n">
        <v>879</v>
      </c>
    </row>
    <row r="110">
      <c r="A110" t="inlineStr">
        <is>
          <t>LV100175</t>
        </is>
      </c>
      <c r="B110" t="inlineStr">
        <is>
          <t>BAI "Daugavgrīva"</t>
        </is>
      </c>
      <c r="C110" t="n">
        <v>1030.17</v>
      </c>
      <c r="D110" t="n">
        <v>3169.06</v>
      </c>
      <c r="E110" t="n">
        <v>0.3942988751590323</v>
      </c>
      <c r="F110" t="n">
        <v>2.999450869889576</v>
      </c>
      <c r="G110" t="n">
        <v>5.75079557006652</v>
      </c>
      <c r="H110" t="n">
        <v>5977.77528055686</v>
      </c>
      <c r="I110" t="n">
        <v>90.90263168783058</v>
      </c>
      <c r="J110" t="n">
        <v>655</v>
      </c>
    </row>
    <row r="111">
      <c r="A111" t="inlineStr">
        <is>
          <t>UKENNW_UU_TP000133</t>
        </is>
      </c>
      <c r="B111" t="inlineStr">
        <is>
          <t>WIGAN (HOSCAR) STW</t>
        </is>
      </c>
      <c r="C111" t="n">
        <v>1049.35</v>
      </c>
      <c r="D111" t="n">
        <v>3681.82</v>
      </c>
      <c r="E111" t="n">
        <v>0.3925186592306566</v>
      </c>
      <c r="F111" t="n">
        <v>2.697871736819909</v>
      </c>
      <c r="G111" t="n">
        <v>5.377575130193804</v>
      </c>
      <c r="H111" t="n">
        <v>6061.610907064806</v>
      </c>
      <c r="I111" t="n">
        <v>92.09822131966715</v>
      </c>
      <c r="J111" t="n">
        <v>695</v>
      </c>
    </row>
    <row r="112">
      <c r="A112" t="inlineStr">
        <is>
          <t>ES6390850005010E</t>
        </is>
      </c>
      <c r="B112" t="inlineStr">
        <is>
          <t>VUELTA OSTRERA</t>
        </is>
      </c>
      <c r="C112" t="n">
        <v>1481.72</v>
      </c>
      <c r="D112" t="n">
        <v>3161.45</v>
      </c>
      <c r="E112" t="n">
        <v>0.5336303263619505</v>
      </c>
      <c r="F112" t="n">
        <v>2.798605979104555</v>
      </c>
      <c r="G112" t="n">
        <v>5.749225509661041</v>
      </c>
      <c r="H112" t="n">
        <v>5437.785628954091</v>
      </c>
      <c r="I112" t="n">
        <v>82.2396933368902</v>
      </c>
      <c r="J112" t="n">
        <v>1484</v>
      </c>
    </row>
    <row r="113">
      <c r="A113" t="inlineStr">
        <is>
          <t>IT15Q15000000002</t>
        </is>
      </c>
      <c r="B113" t="inlineStr">
        <is>
          <t>Orta_Di_Atella_Ce_Impianto_Napoli_Nord</t>
        </is>
      </c>
      <c r="C113" t="n">
        <v>1454.7</v>
      </c>
      <c r="D113" t="n">
        <v>1711.12</v>
      </c>
      <c r="E113" t="n">
        <v>0.6062902476681077</v>
      </c>
      <c r="F113" t="n">
        <v>3.299363994392918</v>
      </c>
      <c r="G113" t="n">
        <v>7.77544116082731</v>
      </c>
      <c r="H113" t="n">
        <v>4221.404368021847</v>
      </c>
      <c r="I113" t="n">
        <v>63.56021182753148</v>
      </c>
      <c r="J113" t="n">
        <v>2705</v>
      </c>
    </row>
    <row r="114">
      <c r="A114" t="inlineStr">
        <is>
          <t>FR060969152001</t>
        </is>
      </c>
      <c r="B114" t="inlineStr">
        <is>
          <t>LYON - PIERRE BÉNITE</t>
        </is>
      </c>
      <c r="C114" t="n">
        <v>1339.11</v>
      </c>
      <c r="D114" t="n">
        <v>2250.83</v>
      </c>
      <c r="E114" t="n">
        <v>0.5025227819706398</v>
      </c>
      <c r="F114" t="n">
        <v>3.46684456584462</v>
      </c>
      <c r="G114" t="n">
        <v>6.81776539634153</v>
      </c>
      <c r="H114" t="n">
        <v>5180.452168376342</v>
      </c>
      <c r="I114" t="n">
        <v>78.58666994186839</v>
      </c>
      <c r="J114" t="n">
        <v>1447</v>
      </c>
    </row>
    <row r="115">
      <c r="A115" t="inlineStr">
        <is>
          <t>IT15Q15000000001</t>
        </is>
      </c>
      <c r="B115" t="inlineStr">
        <is>
          <t>Caivano_Depuratore_Di_Acerra</t>
        </is>
      </c>
      <c r="C115" t="n">
        <v>1555.35</v>
      </c>
      <c r="D115" t="n">
        <v>1694.13</v>
      </c>
      <c r="E115" t="n">
        <v>0.609049605379454</v>
      </c>
      <c r="F115" t="n">
        <v>3.298061359589166</v>
      </c>
      <c r="G115" t="n">
        <v>7.715426212979657</v>
      </c>
      <c r="H115" t="n">
        <v>4248.759901868797</v>
      </c>
      <c r="I115" t="n">
        <v>63.94697274117532</v>
      </c>
      <c r="J115" t="n">
        <v>2736</v>
      </c>
    </row>
    <row r="116">
      <c r="A116" t="inlineStr">
        <is>
          <t>CZ6203-697931-46347275-4/1U</t>
        </is>
      </c>
      <c r="B116" t="inlineStr">
        <is>
          <t>COV Brno - Modrice</t>
        </is>
      </c>
      <c r="C116" t="n">
        <v>1257.02</v>
      </c>
      <c r="D116" t="n">
        <v>2992.5</v>
      </c>
      <c r="E116" t="n">
        <v>0.4420851958029141</v>
      </c>
      <c r="F116" t="n">
        <v>3.101652540022762</v>
      </c>
      <c r="G116" t="n">
        <v>5.821257905775939</v>
      </c>
      <c r="H116" t="n">
        <v>5878.041987756492</v>
      </c>
      <c r="I116" t="n">
        <v>89.37672988026489</v>
      </c>
      <c r="J116" t="n">
        <v>854</v>
      </c>
    </row>
    <row r="117">
      <c r="A117" t="inlineStr">
        <is>
          <t>RO1IS_51</t>
        </is>
      </c>
      <c r="B117" t="inlineStr">
        <is>
          <t>ROWP DANCU IASI</t>
        </is>
      </c>
      <c r="C117" t="n">
        <v>1312.97</v>
      </c>
      <c r="D117" t="n">
        <v>3527.96</v>
      </c>
      <c r="E117" t="n">
        <v>0.4773032110948369</v>
      </c>
      <c r="F117" t="n">
        <v>2.801232358341553</v>
      </c>
      <c r="G117" t="n">
        <v>5.349199160488022</v>
      </c>
      <c r="H117" t="n">
        <v>5982.28433808324</v>
      </c>
      <c r="I117" t="n">
        <v>90.80329117410552</v>
      </c>
      <c r="J117" t="n">
        <v>1131</v>
      </c>
    </row>
    <row r="118">
      <c r="A118" t="inlineStr">
        <is>
          <t>DETP_BYAB-K0033</t>
        </is>
      </c>
      <c r="B118" t="inlineStr">
        <is>
          <t>Würzburg</t>
        </is>
      </c>
      <c r="C118" t="n">
        <v>1206.71</v>
      </c>
      <c r="D118" t="n">
        <v>2111.95</v>
      </c>
      <c r="E118" t="n">
        <v>0.4972209121631612</v>
      </c>
      <c r="F118" t="n">
        <v>3.799230235274919</v>
      </c>
      <c r="G118" t="n">
        <v>6.874871324876103</v>
      </c>
      <c r="H118" t="n">
        <v>5295.483394518035</v>
      </c>
      <c r="I118" t="n">
        <v>80.53324566695031</v>
      </c>
      <c r="J118" t="n">
        <v>1117</v>
      </c>
    </row>
    <row r="119">
      <c r="A119" t="inlineStr">
        <is>
          <t>HU-WWTP-AIA512</t>
        </is>
      </c>
      <c r="B119" t="inlineStr">
        <is>
          <t>Debrecen - Szennyviztisztito Telep</t>
        </is>
      </c>
      <c r="C119" t="n">
        <v>1274.12</v>
      </c>
      <c r="D119" t="n">
        <v>2871.17</v>
      </c>
      <c r="E119" t="n">
        <v>0.5038966716453575</v>
      </c>
      <c r="F119" t="n">
        <v>3.14958278837192</v>
      </c>
      <c r="G119" t="n">
        <v>5.985479491401934</v>
      </c>
      <c r="H119" t="n">
        <v>5607.600499659252</v>
      </c>
      <c r="I119" t="n">
        <v>85.01681338817878</v>
      </c>
      <c r="J119" t="n">
        <v>1524</v>
      </c>
    </row>
    <row r="120">
      <c r="A120" t="inlineStr">
        <is>
          <t>DETP_BW1215100000017</t>
        </is>
      </c>
      <c r="B120" t="inlineStr">
        <is>
          <t>SKA Heilbronn</t>
        </is>
      </c>
      <c r="C120" t="n">
        <v>1217.56</v>
      </c>
      <c r="D120" t="n">
        <v>2124.9</v>
      </c>
      <c r="E120" t="n">
        <v>0.5106223364990892</v>
      </c>
      <c r="F120" t="n">
        <v>3.798579983469208</v>
      </c>
      <c r="G120" t="n">
        <v>6.821627581849652</v>
      </c>
      <c r="H120" t="n">
        <v>5298.318984336885</v>
      </c>
      <c r="I120" t="n">
        <v>80.50502117044172</v>
      </c>
      <c r="J120" t="n">
        <v>1241</v>
      </c>
    </row>
    <row r="121">
      <c r="A121" t="inlineStr">
        <is>
          <t>ES1110200014010E</t>
        </is>
      </c>
      <c r="B121" t="inlineStr">
        <is>
          <t>GUADALETE</t>
        </is>
      </c>
      <c r="C121" t="n">
        <v>1633.93</v>
      </c>
      <c r="D121" t="n">
        <v>3365.18</v>
      </c>
      <c r="E121" t="n">
        <v>0.5016090637909698</v>
      </c>
      <c r="F121" t="n">
        <v>2.799238299211795</v>
      </c>
      <c r="G121" t="n">
        <v>5.398231710990128</v>
      </c>
      <c r="H121" t="n">
        <v>5868.516054858856</v>
      </c>
      <c r="I121" t="n">
        <v>88.93261124853525</v>
      </c>
      <c r="J121" t="n">
        <v>1133</v>
      </c>
    </row>
    <row r="122">
      <c r="A122" t="inlineStr">
        <is>
          <t>PLWL1330</t>
        </is>
      </c>
      <c r="B122" t="inlineStr">
        <is>
          <t>Dopiewo</t>
        </is>
      </c>
      <c r="C122" t="n">
        <v>1119.68</v>
      </c>
      <c r="D122" t="n">
        <v>2607.3</v>
      </c>
      <c r="E122" t="n">
        <v>0.416918011313366</v>
      </c>
      <c r="F122" t="n">
        <v>3.400357655445511</v>
      </c>
      <c r="G122" t="n">
        <v>6.32195063664565</v>
      </c>
      <c r="H122" t="n">
        <v>5752.418683555645</v>
      </c>
      <c r="I122" t="n">
        <v>87.57437344876047</v>
      </c>
      <c r="J122" t="n">
        <v>851</v>
      </c>
    </row>
    <row r="123">
      <c r="A123" t="inlineStr">
        <is>
          <t>DETP_NW2101</t>
        </is>
      </c>
      <c r="B123" t="inlineStr">
        <is>
          <t>Düsseldorf-Nord</t>
        </is>
      </c>
      <c r="C123" t="n">
        <v>1145.51</v>
      </c>
      <c r="D123" t="n">
        <v>2664.64</v>
      </c>
      <c r="E123" t="n">
        <v>0.4574075269129222</v>
      </c>
      <c r="F123" t="n">
        <v>3.400514124572019</v>
      </c>
      <c r="G123" t="n">
        <v>6.107267382164013</v>
      </c>
      <c r="H123" t="n">
        <v>5736.995299374973</v>
      </c>
      <c r="I123" t="n">
        <v>87.28690125573245</v>
      </c>
      <c r="J123" t="n">
        <v>885</v>
      </c>
    </row>
    <row r="124">
      <c r="A124" t="inlineStr">
        <is>
          <t>IT01000000000043</t>
        </is>
      </c>
      <c r="B124" t="inlineStr">
        <is>
          <t>Castiglione</t>
        </is>
      </c>
      <c r="C124" t="n">
        <v>1423.38</v>
      </c>
      <c r="D124" t="n">
        <v>775</v>
      </c>
      <c r="E124" t="n">
        <v>1</v>
      </c>
      <c r="F124" t="n">
        <v>3.07513709509897</v>
      </c>
      <c r="G124" t="n">
        <v>8.470273232571156</v>
      </c>
      <c r="H124" t="n">
        <v>3000.340229277777</v>
      </c>
      <c r="I124" t="n">
        <v>44.84815428875202</v>
      </c>
      <c r="J124" t="n">
        <v>3653</v>
      </c>
    </row>
    <row r="125">
      <c r="A125" t="inlineStr">
        <is>
          <t>FR037862401000</t>
        </is>
      </c>
      <c r="B125" t="inlineStr">
        <is>
          <t>PARIS SEINE GRÉSILLONS</t>
        </is>
      </c>
      <c r="C125" t="n">
        <v>1196.25</v>
      </c>
      <c r="D125" t="n">
        <v>2981.16</v>
      </c>
      <c r="E125" t="n">
        <v>0.4369543195546172</v>
      </c>
      <c r="F125" t="n">
        <v>3.197780634177374</v>
      </c>
      <c r="G125" t="n">
        <v>5.864885156464621</v>
      </c>
      <c r="H125" t="n">
        <v>5942.171742735683</v>
      </c>
      <c r="I125" t="n">
        <v>90.38942499949154</v>
      </c>
      <c r="J125" t="n">
        <v>788</v>
      </c>
    </row>
    <row r="126">
      <c r="A126" t="inlineStr">
        <is>
          <t>DETP_NW3008</t>
        </is>
      </c>
      <c r="B126" t="inlineStr">
        <is>
          <t>Münster-Hauptkläranlage</t>
        </is>
      </c>
      <c r="C126" t="n">
        <v>1114.98</v>
      </c>
      <c r="D126" t="n">
        <v>2724.32</v>
      </c>
      <c r="E126" t="n">
        <v>0.4540155330638315</v>
      </c>
      <c r="F126" t="n">
        <v>3.399863773318233</v>
      </c>
      <c r="G126" t="n">
        <v>6.098059655092517</v>
      </c>
      <c r="H126" t="n">
        <v>5755.528779073165</v>
      </c>
      <c r="I126" t="n">
        <v>87.57416395069423</v>
      </c>
      <c r="J126" t="n">
        <v>895</v>
      </c>
    </row>
    <row r="127">
      <c r="A127" t="inlineStr">
        <is>
          <t>DETP_NW2138</t>
        </is>
      </c>
      <c r="B127" t="inlineStr">
        <is>
          <t>Neuss-Ost</t>
        </is>
      </c>
      <c r="C127" t="n">
        <v>1152.8</v>
      </c>
      <c r="D127" t="n">
        <v>2655.84</v>
      </c>
      <c r="E127" t="n">
        <v>0.4669793073886223</v>
      </c>
      <c r="F127" t="n">
        <v>3.498875149812112</v>
      </c>
      <c r="G127" t="n">
        <v>6.111903968584987</v>
      </c>
      <c r="H127" t="n">
        <v>5793.686029323676</v>
      </c>
      <c r="I127" t="n">
        <v>88.10542689130314</v>
      </c>
      <c r="J127" t="n">
        <v>869</v>
      </c>
    </row>
    <row r="128">
      <c r="A128" t="inlineStr">
        <is>
          <t>ES6390750005010E</t>
        </is>
      </c>
      <c r="B128" t="inlineStr">
        <is>
          <t>SAN ROMÁN</t>
        </is>
      </c>
      <c r="C128" t="n">
        <v>1465.34</v>
      </c>
      <c r="D128" t="n">
        <v>3200.05</v>
      </c>
      <c r="E128" t="n">
        <v>0.5457956239748103</v>
      </c>
      <c r="F128" t="n">
        <v>2.79747035222243</v>
      </c>
      <c r="G128" t="n">
        <v>5.728507703559121</v>
      </c>
      <c r="H128" t="n">
        <v>5425.839999100338</v>
      </c>
      <c r="I128" t="n">
        <v>82.04295888563028</v>
      </c>
      <c r="J128" t="n">
        <v>1627</v>
      </c>
    </row>
    <row r="129">
      <c r="A129" t="inlineStr">
        <is>
          <t>UKENTH_TWU_TP000052</t>
        </is>
      </c>
      <c r="B129" t="inlineStr">
        <is>
          <t>LONDON (Crossness STW)</t>
        </is>
      </c>
      <c r="C129" t="n">
        <v>1156.92</v>
      </c>
      <c r="D129" t="n">
        <v>3724.75</v>
      </c>
      <c r="E129" t="n">
        <v>0.3813428085982285</v>
      </c>
      <c r="F129" t="n">
        <v>2.697370317628074</v>
      </c>
      <c r="G129" t="n">
        <v>5.243597902833367</v>
      </c>
      <c r="H129" t="n">
        <v>6242.356324867934</v>
      </c>
      <c r="I129" t="n">
        <v>94.90515421906504</v>
      </c>
      <c r="J129" t="n">
        <v>594</v>
      </c>
    </row>
    <row r="130">
      <c r="A130" t="inlineStr">
        <is>
          <t>IT19SR00G7002DE001</t>
        </is>
      </c>
      <c r="B130" t="inlineStr">
        <is>
          <t>Impianto_C_Da_Magnisi_Casale_Vecchie_Saline_Depuratore_Ias_Priolo</t>
        </is>
      </c>
      <c r="C130" t="n">
        <v>1671</v>
      </c>
      <c r="D130" t="n">
        <v>2796.51</v>
      </c>
      <c r="E130" t="n">
        <v>0.5265759271568231</v>
      </c>
      <c r="F130" t="n">
        <v>2.899777436620107</v>
      </c>
      <c r="G130" t="n">
        <v>5.940326184120126</v>
      </c>
      <c r="H130" t="n">
        <v>5370.961955140914</v>
      </c>
      <c r="I130" t="n">
        <v>81.25489314936458</v>
      </c>
      <c r="J130" t="n">
        <v>1480</v>
      </c>
    </row>
    <row r="131">
      <c r="A131" t="inlineStr">
        <is>
          <t>PLDO0011</t>
        </is>
      </c>
      <c r="B131" t="inlineStr">
        <is>
          <t>Wrocławska Oczyszczalnia Ścieków</t>
        </is>
      </c>
      <c r="C131" t="n">
        <v>1170.96</v>
      </c>
      <c r="D131" t="n">
        <v>2581.25</v>
      </c>
      <c r="E131" t="n">
        <v>0.4378881529849663</v>
      </c>
      <c r="F131" t="n">
        <v>3.399007644312201</v>
      </c>
      <c r="G131" t="n">
        <v>6.319114459708711</v>
      </c>
      <c r="H131" t="n">
        <v>5698.364449955479</v>
      </c>
      <c r="I131" t="n">
        <v>86.68663991611177</v>
      </c>
      <c r="J131" t="n">
        <v>942</v>
      </c>
    </row>
    <row r="132">
      <c r="A132" t="inlineStr">
        <is>
          <t>ES9082790004050E</t>
        </is>
      </c>
      <c r="B132" t="inlineStr">
        <is>
          <t>TERRASSA</t>
        </is>
      </c>
      <c r="C132" t="n">
        <v>1511</v>
      </c>
      <c r="D132" t="n">
        <v>2009.73</v>
      </c>
      <c r="E132" t="n">
        <v>0.5717386170298937</v>
      </c>
      <c r="F132" t="n">
        <v>3.199106620682319</v>
      </c>
      <c r="G132" t="n">
        <v>7.159837601917251</v>
      </c>
      <c r="H132" t="n">
        <v>4592.355635620982</v>
      </c>
      <c r="I132" t="n">
        <v>69.21161340789263</v>
      </c>
      <c r="J132" t="n">
        <v>2725</v>
      </c>
    </row>
    <row r="133">
      <c r="A133" t="inlineStr">
        <is>
          <t>UKENNW_UU_TP000042</t>
        </is>
      </c>
      <c r="B133" t="inlineStr">
        <is>
          <t>Manchester and Salford (Davyhulme)STW</t>
        </is>
      </c>
      <c r="C133" t="n">
        <v>1040.8</v>
      </c>
      <c r="D133" t="n">
        <v>3625.89</v>
      </c>
      <c r="E133" t="n">
        <v>0.3681815463252929</v>
      </c>
      <c r="F133" t="n">
        <v>2.69859066795126</v>
      </c>
      <c r="G133" t="n">
        <v>5.403250943956728</v>
      </c>
      <c r="H133" t="n">
        <v>6095.12739336665</v>
      </c>
      <c r="I133" t="n">
        <v>92.65100097847021</v>
      </c>
      <c r="J133" t="n">
        <v>672</v>
      </c>
    </row>
    <row r="134">
      <c r="A134" t="inlineStr">
        <is>
          <t>IT09RT0504</t>
        </is>
      </c>
      <c r="B134" t="inlineStr">
        <is>
          <t>Idi_Aquarno</t>
        </is>
      </c>
      <c r="C134" t="n">
        <v>1388.72</v>
      </c>
      <c r="D134" t="n">
        <v>2150.63</v>
      </c>
      <c r="E134" t="n">
        <v>0.5256015449612749</v>
      </c>
      <c r="F134" t="n">
        <v>3.399903778866646</v>
      </c>
      <c r="G134" t="n">
        <v>7.016287401363767</v>
      </c>
      <c r="H134" t="n">
        <v>4936.075379053596</v>
      </c>
      <c r="I134" t="n">
        <v>74.66413551868558</v>
      </c>
      <c r="J134" t="n">
        <v>1773</v>
      </c>
    </row>
    <row r="135">
      <c r="A135" t="inlineStr">
        <is>
          <t>ES1410910002012E</t>
        </is>
      </c>
      <c r="B135" t="inlineStr">
        <is>
          <t>COPERO</t>
        </is>
      </c>
      <c r="C135" t="n">
        <v>1610.35</v>
      </c>
      <c r="D135" t="n">
        <v>2809.09</v>
      </c>
      <c r="E135" t="n">
        <v>0.502814328385478</v>
      </c>
      <c r="F135" t="n">
        <v>3.098492135432565</v>
      </c>
      <c r="G135" t="n">
        <v>5.695682564361027</v>
      </c>
      <c r="H135" t="n">
        <v>5845.586040813374</v>
      </c>
      <c r="I135" t="n">
        <v>88.63960143864055</v>
      </c>
      <c r="J135" t="n">
        <v>1343</v>
      </c>
    </row>
    <row r="136">
      <c r="A136" t="inlineStr">
        <is>
          <t>FR025745200219</t>
        </is>
      </c>
      <c r="B136" t="inlineStr">
        <is>
          <t>METZ</t>
        </is>
      </c>
      <c r="C136" t="n">
        <v>1189.93</v>
      </c>
      <c r="D136" t="n">
        <v>2664.28</v>
      </c>
      <c r="E136" t="n">
        <v>0.4514729337538468</v>
      </c>
      <c r="F136" t="n">
        <v>3.299792169421897</v>
      </c>
      <c r="G136" t="n">
        <v>6.279806846684457</v>
      </c>
      <c r="H136" t="n">
        <v>5606.417146830434</v>
      </c>
      <c r="I136" t="n">
        <v>85.24946739161214</v>
      </c>
      <c r="J136" t="n">
        <v>1022</v>
      </c>
    </row>
    <row r="137">
      <c r="A137" t="inlineStr">
        <is>
          <t>FIJVP_O000000000101</t>
        </is>
      </c>
      <c r="B137" t="inlineStr">
        <is>
          <t>TP (101) of Helsingin kt.</t>
        </is>
      </c>
      <c r="C137" t="n">
        <v>1061.31</v>
      </c>
      <c r="D137" t="n">
        <v>4011.96</v>
      </c>
      <c r="E137" t="n">
        <v>0.2753035155986419</v>
      </c>
      <c r="F137" t="n">
        <v>2.299865615136723</v>
      </c>
      <c r="G137" t="n">
        <v>5.039567264134464</v>
      </c>
      <c r="H137" t="n">
        <v>6269.009097161696</v>
      </c>
      <c r="I137" t="n">
        <v>95.26644597199943</v>
      </c>
      <c r="J137" t="n">
        <v>549</v>
      </c>
    </row>
    <row r="138">
      <c r="A138" t="inlineStr">
        <is>
          <t>ES14300160001030E</t>
        </is>
      </c>
      <c r="B138" t="inlineStr">
        <is>
          <t>CARTAGENA (CABEZO BEAZA)</t>
        </is>
      </c>
      <c r="C138" t="n">
        <v>1732.71</v>
      </c>
      <c r="D138" t="n">
        <v>2946.09</v>
      </c>
      <c r="E138" t="n">
        <v>0.5092470198978014</v>
      </c>
      <c r="F138" t="n">
        <v>2.799177665785295</v>
      </c>
      <c r="G138" t="n">
        <v>5.701363744880093</v>
      </c>
      <c r="H138" t="n">
        <v>5542.804512431686</v>
      </c>
      <c r="I138" t="n">
        <v>83.90156046134754</v>
      </c>
      <c r="J138" t="n">
        <v>1435</v>
      </c>
    </row>
    <row r="139">
      <c r="A139" t="inlineStr">
        <is>
          <t>IT15Q15000000006</t>
        </is>
      </c>
      <c r="B139" t="inlineStr">
        <is>
          <t>Marcianise_Ce_Depuratore_Di_Marcianise</t>
        </is>
      </c>
      <c r="C139" t="n">
        <v>1455.27</v>
      </c>
      <c r="D139" t="n">
        <v>1717.44</v>
      </c>
      <c r="E139" t="n">
        <v>0.6012483077714125</v>
      </c>
      <c r="F139" t="n">
        <v>3.299869250032709</v>
      </c>
      <c r="G139" t="n">
        <v>7.765195497735944</v>
      </c>
      <c r="H139" t="n">
        <v>4238.582532163984</v>
      </c>
      <c r="I139" t="n">
        <v>63.8213964130851</v>
      </c>
      <c r="J139" t="n">
        <v>2689</v>
      </c>
    </row>
    <row r="140">
      <c r="A140" t="inlineStr">
        <is>
          <t>DETP_BYDON-K0220</t>
        </is>
      </c>
      <c r="B140" t="inlineStr">
        <is>
          <t>Zweckverband Klärwerk Steinhäule</t>
        </is>
      </c>
      <c r="C140" t="n">
        <v>1263.08</v>
      </c>
      <c r="D140" t="n">
        <v>2054.44</v>
      </c>
      <c r="E140" t="n">
        <v>0.5295212454526645</v>
      </c>
      <c r="F140" t="n">
        <v>3.798960487326122</v>
      </c>
      <c r="G140" t="n">
        <v>6.921994414198882</v>
      </c>
      <c r="H140" t="n">
        <v>5168.001462260983</v>
      </c>
      <c r="I140" t="n">
        <v>78.43997842301494</v>
      </c>
      <c r="J140" t="n">
        <v>1451</v>
      </c>
    </row>
    <row r="141">
      <c r="A141" t="inlineStr">
        <is>
          <t>UKENNE_YW_TP000082</t>
        </is>
      </c>
      <c r="B141" t="inlineStr">
        <is>
          <t>BRADFORD ESHOLT STW</t>
        </is>
      </c>
      <c r="C141" t="n">
        <v>1028.42</v>
      </c>
      <c r="D141" t="n">
        <v>3654.94</v>
      </c>
      <c r="E141" t="n">
        <v>0.332740262264435</v>
      </c>
      <c r="F141" t="n">
        <v>2.598561719381498</v>
      </c>
      <c r="G141" t="n">
        <v>5.38674609680286</v>
      </c>
      <c r="H141" t="n">
        <v>6085.22628992407</v>
      </c>
      <c r="I141" t="n">
        <v>92.55471388804963</v>
      </c>
      <c r="J141" t="n">
        <v>564</v>
      </c>
    </row>
    <row r="142">
      <c r="A142" t="inlineStr">
        <is>
          <t>FR0444109S0011</t>
        </is>
      </c>
      <c r="B142" t="inlineStr">
        <is>
          <t>NANTES 1-TOUGAS</t>
        </is>
      </c>
      <c r="C142" t="n">
        <v>1281.72</v>
      </c>
      <c r="D142" t="n">
        <v>3319.37</v>
      </c>
      <c r="E142" t="n">
        <v>0.4335223741551023</v>
      </c>
      <c r="F142" t="n">
        <v>2.998369045751801</v>
      </c>
      <c r="G142" t="n">
        <v>5.457876251199612</v>
      </c>
      <c r="H142" t="n">
        <v>6183.352722056456</v>
      </c>
      <c r="I142" t="n">
        <v>94.029000646966</v>
      </c>
      <c r="J142" t="n">
        <v>646</v>
      </c>
    </row>
    <row r="143">
      <c r="A143" t="inlineStr">
        <is>
          <t>ES7372740002010E</t>
        </is>
      </c>
      <c r="B143" t="inlineStr">
        <is>
          <t>SALAMANCA</t>
        </is>
      </c>
      <c r="C143" t="n">
        <v>1566.49</v>
      </c>
      <c r="D143" t="n">
        <v>3414.28</v>
      </c>
      <c r="E143" t="n">
        <v>0.4917458930225467</v>
      </c>
      <c r="F143" t="n">
        <v>2.800685104576167</v>
      </c>
      <c r="G143" t="n">
        <v>5.332018024601622</v>
      </c>
      <c r="H143" t="n">
        <v>5964.47605729348</v>
      </c>
      <c r="I143" t="n">
        <v>90.47662376679978</v>
      </c>
      <c r="J143" t="n">
        <v>1174</v>
      </c>
    </row>
    <row r="144">
      <c r="A144" t="inlineStr">
        <is>
          <t>UKENNW_UU_TP000124</t>
        </is>
      </c>
      <c r="B144" t="inlineStr">
        <is>
          <t>NORTH WARRINGTON   STW</t>
        </is>
      </c>
      <c r="C144" t="n">
        <v>1050.78</v>
      </c>
      <c r="D144" t="n">
        <v>3594.25</v>
      </c>
      <c r="E144" t="n">
        <v>0.3769024804252339</v>
      </c>
      <c r="F144" t="n">
        <v>2.699508990872534</v>
      </c>
      <c r="G144" t="n">
        <v>5.432694001135292</v>
      </c>
      <c r="H144" t="n">
        <v>6039.542890373453</v>
      </c>
      <c r="I144" t="n">
        <v>91.81614239633728</v>
      </c>
      <c r="J144" t="n">
        <v>669</v>
      </c>
    </row>
    <row r="145">
      <c r="A145" t="inlineStr">
        <is>
          <t>UKENTH_TWU_TP000126</t>
        </is>
      </c>
      <c r="B145" t="inlineStr">
        <is>
          <t>Rye Meads STW</t>
        </is>
      </c>
      <c r="C145" t="n">
        <v>1139.92</v>
      </c>
      <c r="D145" t="n">
        <v>3632.07</v>
      </c>
      <c r="E145" t="n">
        <v>0.3672480742614771</v>
      </c>
      <c r="F145" t="n">
        <v>2.7019177969383</v>
      </c>
      <c r="G145" t="n">
        <v>5.312958096617463</v>
      </c>
      <c r="H145" t="n">
        <v>6201.102890461941</v>
      </c>
      <c r="I145" t="n">
        <v>94.32300695898154</v>
      </c>
      <c r="J145" t="n">
        <v>579</v>
      </c>
    </row>
    <row r="146">
      <c r="A146" t="inlineStr">
        <is>
          <t>IT15Q15000000004</t>
        </is>
      </c>
      <c r="B146" t="inlineStr">
        <is>
          <t>Marigliano_Na_Depuratore_Di_Nola</t>
        </is>
      </c>
      <c r="C146" t="n">
        <v>1554.99</v>
      </c>
      <c r="D146" t="n">
        <v>1773.65</v>
      </c>
      <c r="E146" t="n">
        <v>0.6045414518890869</v>
      </c>
      <c r="F146" t="n">
        <v>3.298929895529306</v>
      </c>
      <c r="G146" t="n">
        <v>7.58958430074399</v>
      </c>
      <c r="H146" t="n">
        <v>4329.020468707577</v>
      </c>
      <c r="I146" t="n">
        <v>65.17355618813247</v>
      </c>
      <c r="J146" t="n">
        <v>2594</v>
      </c>
    </row>
    <row r="147">
      <c r="A147" t="inlineStr">
        <is>
          <t>DETP_BYN-K0002</t>
        </is>
      </c>
      <c r="B147" t="inlineStr">
        <is>
          <t>Erlangen</t>
        </is>
      </c>
      <c r="C147" t="n">
        <v>1201.77</v>
      </c>
      <c r="D147" t="n">
        <v>2138.98</v>
      </c>
      <c r="E147" t="n">
        <v>0.4908834563590819</v>
      </c>
      <c r="F147" t="n">
        <v>3.798443770820794</v>
      </c>
      <c r="G147" t="n">
        <v>6.818387019873985</v>
      </c>
      <c r="H147" t="n">
        <v>5360.322179113156</v>
      </c>
      <c r="I147" t="n">
        <v>81.49810842502097</v>
      </c>
      <c r="J147" t="n">
        <v>1116</v>
      </c>
    </row>
    <row r="148">
      <c r="A148" t="inlineStr">
        <is>
          <t>IT09RT0506</t>
        </is>
      </c>
      <c r="B148" t="inlineStr">
        <is>
          <t>Idi_Cuoio_Depur</t>
        </is>
      </c>
      <c r="C148" t="n">
        <v>1394.88</v>
      </c>
      <c r="D148" t="n">
        <v>2181.21</v>
      </c>
      <c r="E148" t="n">
        <v>0.5255901550328766</v>
      </c>
      <c r="F148" t="n">
        <v>3.399887335444651</v>
      </c>
      <c r="G148" t="n">
        <v>6.952947576668197</v>
      </c>
      <c r="H148" t="n">
        <v>4980.668306593619</v>
      </c>
      <c r="I148" t="n">
        <v>75.34456389026025</v>
      </c>
      <c r="J148" t="n">
        <v>1789</v>
      </c>
    </row>
    <row r="149">
      <c r="A149" t="inlineStr">
        <is>
          <t>ES1410700001010E</t>
        </is>
      </c>
      <c r="B149" t="inlineStr">
        <is>
          <t>PALOMARES</t>
        </is>
      </c>
      <c r="C149" t="n">
        <v>1610.38</v>
      </c>
      <c r="D149" t="n">
        <v>2834.04</v>
      </c>
      <c r="E149" t="n">
        <v>0.5032100788148195</v>
      </c>
      <c r="F149" t="n">
        <v>3.098115881078346</v>
      </c>
      <c r="G149" t="n">
        <v>5.668425072541511</v>
      </c>
      <c r="H149" t="n">
        <v>5872.309335108816</v>
      </c>
      <c r="I149" t="n">
        <v>89.0428753564881</v>
      </c>
      <c r="J149" t="n">
        <v>1343</v>
      </c>
    </row>
    <row r="150">
      <c r="A150" t="inlineStr">
        <is>
          <t>DETP_ST153581000001</t>
        </is>
      </c>
      <c r="B150" t="inlineStr">
        <is>
          <t>MD-Gerwisch</t>
        </is>
      </c>
      <c r="C150" t="n">
        <v>1148.5</v>
      </c>
      <c r="D150" t="n">
        <v>2519.53</v>
      </c>
      <c r="E150" t="n">
        <v>0.4505521734035038</v>
      </c>
      <c r="F150" t="n">
        <v>3.500023967010037</v>
      </c>
      <c r="G150" t="n">
        <v>6.329282452290315</v>
      </c>
      <c r="H150" t="n">
        <v>5643.67864264281</v>
      </c>
      <c r="I150" t="n">
        <v>85.88475839579048</v>
      </c>
      <c r="J150" t="n">
        <v>904</v>
      </c>
    </row>
    <row r="151">
      <c r="A151" t="inlineStr">
        <is>
          <t>RO3AG_51</t>
        </is>
      </c>
      <c r="B151" t="inlineStr">
        <is>
          <t>ROWP SC APA CANAL 2000 S.A. PITESTI</t>
        </is>
      </c>
      <c r="C151" t="n">
        <v>1384.29</v>
      </c>
      <c r="D151" t="n">
        <v>2521.69</v>
      </c>
      <c r="E151" t="n">
        <v>0.5013389199336599</v>
      </c>
      <c r="F151" t="n">
        <v>3.399806043266354</v>
      </c>
      <c r="G151" t="n">
        <v>6.139186295143126</v>
      </c>
      <c r="H151" t="n">
        <v>5694.47625676536</v>
      </c>
      <c r="I151" t="n">
        <v>86.41126316124384</v>
      </c>
      <c r="J151" t="n">
        <v>1463</v>
      </c>
    </row>
    <row r="152">
      <c r="A152" t="inlineStr">
        <is>
          <t>IT06000000000098</t>
        </is>
      </c>
      <c r="B152" t="inlineStr">
        <is>
          <t>San_Giorgio_Di_Nogaro</t>
        </is>
      </c>
      <c r="C152" t="n">
        <v>1323.15</v>
      </c>
      <c r="D152" t="n">
        <v>1502.99</v>
      </c>
      <c r="E152" t="n">
        <v>0.6109911891499521</v>
      </c>
      <c r="F152" t="n">
        <v>3.69815298902331</v>
      </c>
      <c r="G152" t="n">
        <v>8.214482240848625</v>
      </c>
      <c r="H152" t="n">
        <v>4221.634917298478</v>
      </c>
      <c r="I152" t="n">
        <v>63.65326595840211</v>
      </c>
      <c r="J152" t="n">
        <v>2734</v>
      </c>
    </row>
    <row r="153">
      <c r="A153" t="inlineStr">
        <is>
          <t>IT12000000000311</t>
        </is>
      </c>
      <c r="B153" t="inlineStr">
        <is>
          <t>ROMA_NORD</t>
        </is>
      </c>
      <c r="C153" t="n">
        <v>1462.42</v>
      </c>
      <c r="D153" t="n">
        <v>2025.99</v>
      </c>
      <c r="E153" t="n">
        <v>0.5590550311324634</v>
      </c>
      <c r="F153" t="n">
        <v>3.298902620866434</v>
      </c>
      <c r="G153" t="n">
        <v>7.057266821724745</v>
      </c>
      <c r="H153" t="n">
        <v>4753.115202425867</v>
      </c>
      <c r="I153" t="n">
        <v>71.80018465833096</v>
      </c>
      <c r="J153" t="n">
        <v>2289</v>
      </c>
    </row>
    <row r="154">
      <c r="A154" t="inlineStr">
        <is>
          <t>DETP_ST152021000001</t>
        </is>
      </c>
      <c r="B154" t="inlineStr">
        <is>
          <t>Halle-Nord</t>
        </is>
      </c>
      <c r="C154" t="n">
        <v>1179.35</v>
      </c>
      <c r="D154" t="n">
        <v>2380.85</v>
      </c>
      <c r="E154" t="n">
        <v>0.4760446633289535</v>
      </c>
      <c r="F154" t="n">
        <v>3.601838486973422</v>
      </c>
      <c r="G154" t="n">
        <v>6.493285933683007</v>
      </c>
      <c r="H154" t="n">
        <v>5510.329914487042</v>
      </c>
      <c r="I154" t="n">
        <v>83.82133465998996</v>
      </c>
      <c r="J154" t="n">
        <v>1042</v>
      </c>
    </row>
    <row r="155">
      <c r="A155" t="inlineStr">
        <is>
          <t>HRUWWTP_0001116_001</t>
        </is>
      </c>
      <c r="B155" t="inlineStr">
        <is>
          <t>Rijeka-Delta</t>
        </is>
      </c>
      <c r="C155" t="n">
        <v>1458.84</v>
      </c>
      <c r="D155" t="n">
        <v>3044.98</v>
      </c>
      <c r="E155" t="n">
        <v>0.4828828179727119</v>
      </c>
      <c r="F155" t="n">
        <v>2.899639139751939</v>
      </c>
      <c r="G155" t="n">
        <v>5.866527235358718</v>
      </c>
      <c r="H155" t="n">
        <v>5541.421462455874</v>
      </c>
      <c r="I155" t="n">
        <v>84.01296025817798</v>
      </c>
      <c r="J155" t="n">
        <v>1488</v>
      </c>
    </row>
    <row r="156">
      <c r="A156" t="inlineStr">
        <is>
          <t>FR025435700075</t>
        </is>
      </c>
      <c r="B156" t="inlineStr">
        <is>
          <t>MAXEVILLE</t>
        </is>
      </c>
      <c r="C156" t="n">
        <v>1210.37</v>
      </c>
      <c r="D156" t="n">
        <v>2607.7</v>
      </c>
      <c r="E156" t="n">
        <v>0.4570649416730002</v>
      </c>
      <c r="F156" t="n">
        <v>3.300252051655503</v>
      </c>
      <c r="G156" t="n">
        <v>6.328473108459121</v>
      </c>
      <c r="H156" t="n">
        <v>5549.367209507959</v>
      </c>
      <c r="I156" t="n">
        <v>84.36561408531838</v>
      </c>
      <c r="J156" t="n">
        <v>1056</v>
      </c>
    </row>
    <row r="157">
      <c r="A157" t="inlineStr">
        <is>
          <t>IT15Q90000003627</t>
        </is>
      </c>
      <c r="B157" t="inlineStr">
        <is>
          <t>Salerno_Impianto_Salerno</t>
        </is>
      </c>
      <c r="C157" t="n">
        <v>1567.12</v>
      </c>
      <c r="D157" t="n">
        <v>2286.14</v>
      </c>
      <c r="E157" t="n">
        <v>0.5255498812647218</v>
      </c>
      <c r="F157" t="n">
        <v>3.099920539828574</v>
      </c>
      <c r="G157" t="n">
        <v>6.735676750159466</v>
      </c>
      <c r="H157" t="n">
        <v>4908.367955702318</v>
      </c>
      <c r="I157" t="n">
        <v>74.12933572604199</v>
      </c>
      <c r="J157" t="n">
        <v>1886</v>
      </c>
    </row>
    <row r="158">
      <c r="A158" t="inlineStr">
        <is>
          <t>IT12000000000304</t>
        </is>
      </c>
      <c r="B158" t="inlineStr">
        <is>
          <t>ROMA_EST</t>
        </is>
      </c>
      <c r="C158" t="n">
        <v>1462.98</v>
      </c>
      <c r="D158" t="n">
        <v>1931.51</v>
      </c>
      <c r="E158" t="n">
        <v>0.5580763883821858</v>
      </c>
      <c r="F158" t="n">
        <v>3.299449200959562</v>
      </c>
      <c r="G158" t="n">
        <v>7.224982670309576</v>
      </c>
      <c r="H158" t="n">
        <v>4647.938612042259</v>
      </c>
      <c r="I158" t="n">
        <v>70.17541905981184</v>
      </c>
      <c r="J158" t="n">
        <v>2312</v>
      </c>
    </row>
    <row r="159">
      <c r="A159" t="inlineStr">
        <is>
          <t>UKENAN_AW_TP000069</t>
        </is>
      </c>
      <c r="B159" t="inlineStr">
        <is>
          <t>MILTON KEYNES   STW</t>
        </is>
      </c>
      <c r="C159" t="n">
        <v>1118.4</v>
      </c>
      <c r="D159" t="n">
        <v>3531.22</v>
      </c>
      <c r="E159" t="n">
        <v>0.3761066737521883</v>
      </c>
      <c r="F159" t="n">
        <v>2.798973555543957</v>
      </c>
      <c r="G159" t="n">
        <v>5.416219191230229</v>
      </c>
      <c r="H159" t="n">
        <v>6170.526883593158</v>
      </c>
      <c r="I159" t="n">
        <v>93.85216944228652</v>
      </c>
      <c r="J159" t="n">
        <v>624</v>
      </c>
    </row>
    <row r="160">
      <c r="A160" t="inlineStr">
        <is>
          <t>DETP_BW1175100000062</t>
        </is>
      </c>
      <c r="B160" t="inlineStr">
        <is>
          <t>Göppingen</t>
        </is>
      </c>
      <c r="C160" t="n">
        <v>1252.46</v>
      </c>
      <c r="D160" t="n">
        <v>2096.8</v>
      </c>
      <c r="E160" t="n">
        <v>0.5207236027880681</v>
      </c>
      <c r="F160" t="n">
        <v>3.790007307213725</v>
      </c>
      <c r="G160" t="n">
        <v>6.842658810476761</v>
      </c>
      <c r="H160" t="n">
        <v>5245.432032611675</v>
      </c>
      <c r="I160" t="n">
        <v>79.67078208371706</v>
      </c>
      <c r="J160" t="n">
        <v>1306</v>
      </c>
    </row>
    <row r="161">
      <c r="A161" t="inlineStr">
        <is>
          <t>DETP_NI253014201</t>
        </is>
      </c>
      <c r="B161" t="inlineStr">
        <is>
          <t>2530142095 KA Gümmerwald</t>
        </is>
      </c>
      <c r="C161" t="n">
        <v>1109.52</v>
      </c>
      <c r="D161" t="n">
        <v>2703.55</v>
      </c>
      <c r="E161" t="n">
        <v>0.4510081117170219</v>
      </c>
      <c r="F161" t="n">
        <v>3.400178650615437</v>
      </c>
      <c r="G161" t="n">
        <v>6.145638546440322</v>
      </c>
      <c r="H161" t="n">
        <v>5720.337178032714</v>
      </c>
      <c r="I161" t="n">
        <v>87.04524441284643</v>
      </c>
      <c r="J161" t="n">
        <v>888</v>
      </c>
    </row>
    <row r="162">
      <c r="A162" t="inlineStr">
        <is>
          <t>SI_KCN_00098</t>
        </is>
      </c>
      <c r="B162" t="inlineStr">
        <is>
          <t>UWWTP_LJUBLJANA (ZALOG)</t>
        </is>
      </c>
      <c r="C162" t="n">
        <v>1421.4</v>
      </c>
      <c r="D162" t="n">
        <v>2219.56</v>
      </c>
      <c r="E162" t="n">
        <v>0.4811527695824167</v>
      </c>
      <c r="F162" t="n">
        <v>3.399075726221697</v>
      </c>
      <c r="G162" t="n">
        <v>6.838612429727256</v>
      </c>
      <c r="H162" t="n">
        <v>5166.474785383663</v>
      </c>
      <c r="I162" t="n">
        <v>78.37189069746472</v>
      </c>
      <c r="J162" t="n">
        <v>1603</v>
      </c>
    </row>
    <row r="163">
      <c r="A163" t="inlineStr">
        <is>
          <t>IT03160128000384</t>
        </is>
      </c>
      <c r="B163" t="inlineStr">
        <is>
          <t>Dp01209001_Lonate_Pozzolo</t>
        </is>
      </c>
      <c r="C163" t="n">
        <v>1364.06</v>
      </c>
      <c r="D163" t="n">
        <v>874.35</v>
      </c>
      <c r="E163" t="n">
        <v>1</v>
      </c>
      <c r="F163" t="n">
        <v>3.4</v>
      </c>
      <c r="G163" t="n">
        <v>8.775189173606092</v>
      </c>
      <c r="H163" t="n">
        <v>3005.302401770235</v>
      </c>
      <c r="I163" t="n">
        <v>44.90828733964555</v>
      </c>
      <c r="J163" t="n">
        <v>3652</v>
      </c>
    </row>
    <row r="164">
      <c r="A164" t="inlineStr">
        <is>
          <t>FR0472181S0016</t>
        </is>
      </c>
      <c r="B164" t="inlineStr">
        <is>
          <t>LMM_LE MANS - LA CHAUVINIÈRE</t>
        </is>
      </c>
      <c r="C164" t="n">
        <v>1224.16</v>
      </c>
      <c r="D164" t="n">
        <v>3003.32</v>
      </c>
      <c r="E164" t="n">
        <v>0.43069549611439</v>
      </c>
      <c r="F164" t="n">
        <v>3.198111753530718</v>
      </c>
      <c r="G164" t="n">
        <v>5.791431753948861</v>
      </c>
      <c r="H164" t="n">
        <v>6035.172441466806</v>
      </c>
      <c r="I164" t="n">
        <v>91.81905542458333</v>
      </c>
      <c r="J164" t="n">
        <v>715</v>
      </c>
    </row>
    <row r="165">
      <c r="A165" t="inlineStr">
        <is>
          <t>ES10461100001010E</t>
        </is>
      </c>
      <c r="B165" t="inlineStr">
        <is>
          <t>QUART - BENAGER</t>
        </is>
      </c>
      <c r="C165" t="n">
        <v>1584.85</v>
      </c>
      <c r="D165" t="n">
        <v>2499.51</v>
      </c>
      <c r="E165" t="n">
        <v>0.5797350279551184</v>
      </c>
      <c r="F165" t="n">
        <v>3.097997983606583</v>
      </c>
      <c r="G165" t="n">
        <v>6.243771606724765</v>
      </c>
      <c r="H165" t="n">
        <v>5152.501436766069</v>
      </c>
      <c r="I165" t="n">
        <v>77.78082134037491</v>
      </c>
      <c r="J165" t="n">
        <v>2328</v>
      </c>
    </row>
    <row r="166">
      <c r="A166" t="inlineStr">
        <is>
          <t>DETP_BW3165100000008</t>
        </is>
      </c>
      <c r="B166" t="inlineStr">
        <is>
          <t>SKA AZV BREISGAUER BUCHT - KA FORCHHEIM</t>
        </is>
      </c>
      <c r="C166" t="n">
        <v>1268.03</v>
      </c>
      <c r="D166" t="n">
        <v>1793.04</v>
      </c>
      <c r="E166" t="n">
        <v>0.5336400744158644</v>
      </c>
      <c r="F166" t="n">
        <v>3.898917156241908</v>
      </c>
      <c r="G166" t="n">
        <v>7.431804449934043</v>
      </c>
      <c r="H166" t="n">
        <v>4876.09352619705</v>
      </c>
      <c r="I166" t="n">
        <v>73.92453883335062</v>
      </c>
      <c r="J166" t="n">
        <v>1451</v>
      </c>
    </row>
    <row r="167">
      <c r="A167" t="inlineStr">
        <is>
          <t>FR060969199001</t>
        </is>
      </c>
      <c r="B167" t="inlineStr">
        <is>
          <t>LYON - SAINT FONS</t>
        </is>
      </c>
      <c r="C167" t="n">
        <v>1339.05</v>
      </c>
      <c r="D167" t="n">
        <v>2246.8</v>
      </c>
      <c r="E167" t="n">
        <v>0.5008139466138493</v>
      </c>
      <c r="F167" t="n">
        <v>3.497958545641494</v>
      </c>
      <c r="G167" t="n">
        <v>6.826924504372506</v>
      </c>
      <c r="H167" t="n">
        <v>5203.800798187318</v>
      </c>
      <c r="I167" t="n">
        <v>78.93339053184816</v>
      </c>
      <c r="J167" t="n">
        <v>1458</v>
      </c>
    </row>
    <row r="168">
      <c r="A168" t="inlineStr">
        <is>
          <t>ES8130050002010E</t>
        </is>
      </c>
      <c r="B168" t="inlineStr">
        <is>
          <t>ALCAZAR DE SAN JUAN-CAMPO DE CRIPTANA</t>
        </is>
      </c>
      <c r="C168" t="n">
        <v>1622.02</v>
      </c>
      <c r="D168" t="n">
        <v>3236.7</v>
      </c>
      <c r="E168" t="n">
        <v>0.5068911656219223</v>
      </c>
      <c r="F168" t="n">
        <v>2.899172617382531</v>
      </c>
      <c r="G168" t="n">
        <v>5.334851400391123</v>
      </c>
      <c r="H168" t="n">
        <v>6023.747859783864</v>
      </c>
      <c r="I168" t="n">
        <v>91.3284034045213</v>
      </c>
      <c r="J168" t="n">
        <v>1270</v>
      </c>
    </row>
    <row r="169">
      <c r="A169" t="inlineStr">
        <is>
          <t>ES3330441901011E</t>
        </is>
      </c>
      <c r="B169" t="inlineStr">
        <is>
          <t>VILLAPEREZ</t>
        </is>
      </c>
      <c r="C169" t="n">
        <v>1406.09</v>
      </c>
      <c r="D169" t="n">
        <v>3041.36</v>
      </c>
      <c r="E169" t="n">
        <v>0.5233947053343444</v>
      </c>
      <c r="F169" t="n">
        <v>2.899118109345682</v>
      </c>
      <c r="G169" t="n">
        <v>5.872124827356627</v>
      </c>
      <c r="H169" t="n">
        <v>5437.413169627524</v>
      </c>
      <c r="I169" t="n">
        <v>82.31582141161716</v>
      </c>
      <c r="J169" t="n">
        <v>1462</v>
      </c>
    </row>
    <row r="170">
      <c r="A170" t="inlineStr">
        <is>
          <t>ES17260890002010E</t>
        </is>
      </c>
      <c r="B170" t="inlineStr">
        <is>
          <t>LOGROÑO</t>
        </is>
      </c>
      <c r="C170" t="n">
        <v>1501.46</v>
      </c>
      <c r="D170" t="n">
        <v>2900.57</v>
      </c>
      <c r="E170" t="n">
        <v>0.496913399579932</v>
      </c>
      <c r="F170" t="n">
        <v>2.997758651326051</v>
      </c>
      <c r="G170" t="n">
        <v>5.884681287638917</v>
      </c>
      <c r="H170" t="n">
        <v>5581.442534101941</v>
      </c>
      <c r="I170" t="n">
        <v>84.60141730855206</v>
      </c>
      <c r="J170" t="n">
        <v>1409</v>
      </c>
    </row>
    <row r="171">
      <c r="A171" t="inlineStr">
        <is>
          <t>IETP_D0033</t>
        </is>
      </c>
      <c r="B171" t="inlineStr">
        <is>
          <t>Cork city</t>
        </is>
      </c>
      <c r="C171" t="n">
        <v>1079.89</v>
      </c>
      <c r="D171" t="n">
        <v>4198.91</v>
      </c>
      <c r="E171" t="n">
        <v>0.1206151299416729</v>
      </c>
      <c r="F171" t="n">
        <v>1.899356578527821</v>
      </c>
      <c r="G171" t="n">
        <v>4.853456316594563</v>
      </c>
      <c r="H171" t="n">
        <v>6107.180604862342</v>
      </c>
      <c r="I171" t="n">
        <v>92.62120740054969</v>
      </c>
      <c r="J171" t="n">
        <v>606</v>
      </c>
    </row>
    <row r="172">
      <c r="A172" t="inlineStr">
        <is>
          <t>FR060921231001</t>
        </is>
      </c>
      <c r="B172" t="inlineStr">
        <is>
          <t>DIJON</t>
        </is>
      </c>
      <c r="C172" t="n">
        <v>1270.58</v>
      </c>
      <c r="D172" t="n">
        <v>2528.4</v>
      </c>
      <c r="E172" t="n">
        <v>0.4618032493374098</v>
      </c>
      <c r="F172" t="n">
        <v>3.398220106745264</v>
      </c>
      <c r="G172" t="n">
        <v>6.337407488360389</v>
      </c>
      <c r="H172" t="n">
        <v>5618.376817654073</v>
      </c>
      <c r="I172" t="n">
        <v>85.39344588000402</v>
      </c>
      <c r="J172" t="n">
        <v>1023</v>
      </c>
    </row>
    <row r="173">
      <c r="A173" t="inlineStr">
        <is>
          <t>UKENMI_ST_TP000068</t>
        </is>
      </c>
      <c r="B173" t="inlineStr">
        <is>
          <t>COVENTRY  STW</t>
        </is>
      </c>
      <c r="C173" t="n">
        <v>1096.46</v>
      </c>
      <c r="D173" t="n">
        <v>3451.43</v>
      </c>
      <c r="E173" t="n">
        <v>0.3672421258423724</v>
      </c>
      <c r="F173" t="n">
        <v>2.802005224700262</v>
      </c>
      <c r="G173" t="n">
        <v>5.497767509122919</v>
      </c>
      <c r="H173" t="n">
        <v>6104.306018765505</v>
      </c>
      <c r="I173" t="n">
        <v>92.87541089280614</v>
      </c>
      <c r="J173" t="n">
        <v>579</v>
      </c>
    </row>
    <row r="174">
      <c r="A174" t="inlineStr">
        <is>
          <t>UKENAN_AW_TP000107</t>
        </is>
      </c>
      <c r="B174" t="inlineStr">
        <is>
          <t>NORTHAMPTON   STW</t>
        </is>
      </c>
      <c r="C174" t="n">
        <v>1107.52</v>
      </c>
      <c r="D174" t="n">
        <v>3519.51</v>
      </c>
      <c r="E174" t="n">
        <v>0.3744698463010019</v>
      </c>
      <c r="F174" t="n">
        <v>2.789998844479869</v>
      </c>
      <c r="G174" t="n">
        <v>5.429342182654766</v>
      </c>
      <c r="H174" t="n">
        <v>6149.13766778758</v>
      </c>
      <c r="I174" t="n">
        <v>93.53775370756838</v>
      </c>
      <c r="J174" t="n">
        <v>594</v>
      </c>
    </row>
    <row r="175">
      <c r="A175" t="inlineStr">
        <is>
          <t>DETP_NW608</t>
        </is>
      </c>
      <c r="B175" t="inlineStr">
        <is>
          <t>Wuppertal-Buchenhofen</t>
        </is>
      </c>
      <c r="C175" t="n">
        <v>1143.18</v>
      </c>
      <c r="D175" t="n">
        <v>2604.6</v>
      </c>
      <c r="E175" t="n">
        <v>0.4643740999210788</v>
      </c>
      <c r="F175" t="n">
        <v>3.498179237235317</v>
      </c>
      <c r="G175" t="n">
        <v>6.179905397561087</v>
      </c>
      <c r="H175" t="n">
        <v>5737.276761411057</v>
      </c>
      <c r="I175" t="n">
        <v>87.25477939801715</v>
      </c>
      <c r="J175" t="n">
        <v>896</v>
      </c>
    </row>
    <row r="176">
      <c r="A176" t="inlineStr">
        <is>
          <t>PT5000519</t>
        </is>
      </c>
      <c r="B176" t="inlineStr">
        <is>
          <t>Matosinhos</t>
        </is>
      </c>
      <c r="C176" t="n">
        <v>1563.37</v>
      </c>
      <c r="D176" t="n">
        <v>3406.71</v>
      </c>
      <c r="E176" t="n">
        <v>0.4346664586610202</v>
      </c>
      <c r="F176" t="n">
        <v>2.798047245922016</v>
      </c>
      <c r="G176" t="n">
        <v>5.267527747092261</v>
      </c>
      <c r="H176" t="n">
        <v>6189.628130210649</v>
      </c>
      <c r="I176" t="n">
        <v>93.98179109414259</v>
      </c>
      <c r="J176" t="n">
        <v>963</v>
      </c>
    </row>
    <row r="177">
      <c r="A177" t="inlineStr">
        <is>
          <t>PT20501079</t>
        </is>
      </c>
      <c r="B177" t="inlineStr">
        <is>
          <t>Rib. de Moinhos</t>
        </is>
      </c>
      <c r="C177" t="n">
        <v>1615.11</v>
      </c>
      <c r="D177" t="n">
        <v>4168.75</v>
      </c>
      <c r="E177" t="n">
        <v>0.4585879864991723</v>
      </c>
      <c r="F177" t="n">
        <v>2.49831440299433</v>
      </c>
      <c r="G177" t="n">
        <v>4.73531944632015</v>
      </c>
      <c r="H177" t="n">
        <v>6452.700955710638</v>
      </c>
      <c r="I177" t="n">
        <v>97.88210968562484</v>
      </c>
      <c r="J177" t="n">
        <v>807</v>
      </c>
    </row>
    <row r="178">
      <c r="A178" t="inlineStr">
        <is>
          <t>ES13280790001013E</t>
        </is>
      </c>
      <c r="B178" t="inlineStr">
        <is>
          <t>BUTARQUE</t>
        </is>
      </c>
      <c r="C178" t="n">
        <v>1592.82</v>
      </c>
      <c r="D178" t="n">
        <v>2911.65</v>
      </c>
      <c r="E178" t="n">
        <v>0.5006993620150616</v>
      </c>
      <c r="F178" t="n">
        <v>2.999988807455161</v>
      </c>
      <c r="G178" t="n">
        <v>5.66840064248527</v>
      </c>
      <c r="H178" t="n">
        <v>5782.826766239153</v>
      </c>
      <c r="I178" t="n">
        <v>87.70131621047105</v>
      </c>
      <c r="J178" t="n">
        <v>1380</v>
      </c>
    </row>
    <row r="179">
      <c r="A179" t="inlineStr">
        <is>
          <t>ES1140210009010E</t>
        </is>
      </c>
      <c r="B179" t="inlineStr">
        <is>
          <t>LA GOLONDRINA</t>
        </is>
      </c>
      <c r="C179" t="n">
        <v>1607.48</v>
      </c>
      <c r="D179" t="n">
        <v>2427.62</v>
      </c>
      <c r="E179" t="n">
        <v>0.5252768493198433</v>
      </c>
      <c r="F179" t="n">
        <v>3.19992892208413</v>
      </c>
      <c r="G179" t="n">
        <v>6.134777904144692</v>
      </c>
      <c r="H179" t="n">
        <v>5462.309219100152</v>
      </c>
      <c r="I179" t="n">
        <v>82.73681762138294</v>
      </c>
      <c r="J179" t="n">
        <v>1771</v>
      </c>
    </row>
    <row r="180">
      <c r="A180" t="inlineStr">
        <is>
          <t>FR0533039V005</t>
        </is>
      </c>
      <c r="B180" t="inlineStr">
        <is>
          <t>BEGLES (CLOS DE HILDE)</t>
        </is>
      </c>
      <c r="C180" t="n">
        <v>1325.18</v>
      </c>
      <c r="D180" t="n">
        <v>2481.88</v>
      </c>
      <c r="E180" t="n">
        <v>0.447809916530955</v>
      </c>
      <c r="F180" t="n">
        <v>3.498905436910882</v>
      </c>
      <c r="G180" t="n">
        <v>6.20329710951783</v>
      </c>
      <c r="H180" t="n">
        <v>5863.054615219587</v>
      </c>
      <c r="I180" t="n">
        <v>89.28725183007204</v>
      </c>
      <c r="J180" t="n">
        <v>835</v>
      </c>
    </row>
    <row r="181">
      <c r="A181" t="inlineStr">
        <is>
          <t>PT18075792</t>
        </is>
      </c>
      <c r="B181" t="inlineStr">
        <is>
          <t>Agra I e II</t>
        </is>
      </c>
      <c r="C181" t="n">
        <v>1454.89</v>
      </c>
      <c r="D181" t="n">
        <v>3405.7</v>
      </c>
      <c r="E181" t="n">
        <v>0.4362297819846638</v>
      </c>
      <c r="F181" t="n">
        <v>2.799744981015567</v>
      </c>
      <c r="G181" t="n">
        <v>5.31347632970992</v>
      </c>
      <c r="H181" t="n">
        <v>6131.667743970763</v>
      </c>
      <c r="I181" t="n">
        <v>93.13129660613481</v>
      </c>
      <c r="J181" t="n">
        <v>952</v>
      </c>
    </row>
    <row r="182">
      <c r="A182" t="inlineStr">
        <is>
          <t>DETP_BE02</t>
        </is>
      </c>
      <c r="B182" t="inlineStr">
        <is>
          <t>Schönerlinde</t>
        </is>
      </c>
      <c r="C182" t="n">
        <v>1113.1</v>
      </c>
      <c r="D182" t="n">
        <v>2580.99</v>
      </c>
      <c r="E182" t="n">
        <v>0.4417776338081988</v>
      </c>
      <c r="F182" t="n">
        <v>3.500302504815015</v>
      </c>
      <c r="G182" t="n">
        <v>6.26530046216406</v>
      </c>
      <c r="H182" t="n">
        <v>5727.058325358331</v>
      </c>
      <c r="I182" t="n">
        <v>87.19198568238131</v>
      </c>
      <c r="J182" t="n">
        <v>793</v>
      </c>
    </row>
    <row r="183">
      <c r="A183" t="inlineStr">
        <is>
          <t>UKENMI_ST_TP000156</t>
        </is>
      </c>
      <c r="B183" t="inlineStr">
        <is>
          <t>BIRMINGHAM &amp; BLACK COUNTRY NO. 1 (MINWORTH) STW</t>
        </is>
      </c>
      <c r="C183" t="n">
        <v>1092.94</v>
      </c>
      <c r="D183" t="n">
        <v>3431.47</v>
      </c>
      <c r="E183" t="n">
        <v>0.3805445058370502</v>
      </c>
      <c r="F183" t="n">
        <v>2.896886851978893</v>
      </c>
      <c r="G183" t="n">
        <v>5.519597267430661</v>
      </c>
      <c r="H183" t="n">
        <v>6152.739372159735</v>
      </c>
      <c r="I183" t="n">
        <v>93.57308640998703</v>
      </c>
      <c r="J183" t="n">
        <v>604</v>
      </c>
    </row>
    <row r="184">
      <c r="A184" t="inlineStr">
        <is>
          <t>EL300026013</t>
        </is>
      </c>
      <c r="B184" t="inlineStr">
        <is>
          <t>METAMORPHOSI</t>
        </is>
      </c>
      <c r="C184" t="n">
        <v>1569.54</v>
      </c>
      <c r="D184" t="n">
        <v>3621.95</v>
      </c>
      <c r="E184" t="n">
        <v>0.5038471254837644</v>
      </c>
      <c r="F184" t="n">
        <v>2.698443470370326</v>
      </c>
      <c r="G184" t="n">
        <v>5.404335835568078</v>
      </c>
      <c r="H184" t="n">
        <v>5756.909936391364</v>
      </c>
      <c r="I184" t="n">
        <v>87.178856636747</v>
      </c>
      <c r="J184" t="n">
        <v>1259</v>
      </c>
    </row>
    <row r="185">
      <c r="A185" t="inlineStr">
        <is>
          <t>UKENNW_UU_TP000018</t>
        </is>
      </c>
      <c r="B185" t="inlineStr">
        <is>
          <t>BLACKBURN STW</t>
        </is>
      </c>
      <c r="C185" t="n">
        <v>1035.23</v>
      </c>
      <c r="D185" t="n">
        <v>3710.22</v>
      </c>
      <c r="E185" t="n">
        <v>0.3710957903695994</v>
      </c>
      <c r="F185" t="n">
        <v>2.601001902988116</v>
      </c>
      <c r="G185" t="n">
        <v>5.354451146169402</v>
      </c>
      <c r="H185" t="n">
        <v>6030.127337883934</v>
      </c>
      <c r="I185" t="n">
        <v>91.65805050986347</v>
      </c>
      <c r="J185" t="n">
        <v>682</v>
      </c>
    </row>
    <row r="186">
      <c r="A186" t="inlineStr">
        <is>
          <t>FRCH0000101160</t>
        </is>
      </c>
      <c r="B186" t="inlineStr">
        <is>
          <t>FERNEY-VOLTAIRE - AIRE 2</t>
        </is>
      </c>
      <c r="C186" t="n">
        <v>1365.69</v>
      </c>
      <c r="D186" t="n">
        <v>1256.28</v>
      </c>
      <c r="E186" t="n">
        <v>0.6179591357568717</v>
      </c>
      <c r="F186" t="n">
        <v>3.79679503011749</v>
      </c>
      <c r="G186" t="n">
        <v>8.901885558648681</v>
      </c>
      <c r="H186" t="n">
        <v>3953.913927131151</v>
      </c>
      <c r="I186" t="n">
        <v>59.33013453388175</v>
      </c>
      <c r="J186" t="n">
        <v>2685</v>
      </c>
    </row>
    <row r="187">
      <c r="A187" t="inlineStr">
        <is>
          <t>ES6390060001010E</t>
        </is>
      </c>
      <c r="B187" t="inlineStr">
        <is>
          <t>SAN PANTALEON</t>
        </is>
      </c>
      <c r="C187" t="n">
        <v>1464.08</v>
      </c>
      <c r="D187" t="n">
        <v>3283.54</v>
      </c>
      <c r="E187" t="n">
        <v>0.5251558159960438</v>
      </c>
      <c r="F187" t="n">
        <v>2.699995006959042</v>
      </c>
      <c r="G187" t="n">
        <v>5.649662884755116</v>
      </c>
      <c r="H187" t="n">
        <v>5461.293673976533</v>
      </c>
      <c r="I187" t="n">
        <v>82.59676829878239</v>
      </c>
      <c r="J187" t="n">
        <v>1572</v>
      </c>
    </row>
    <row r="188">
      <c r="A188" t="inlineStr">
        <is>
          <t>ES10030650002001E</t>
        </is>
      </c>
      <c r="B188" t="inlineStr">
        <is>
          <t>ELX - ALGOROS</t>
        </is>
      </c>
      <c r="C188" t="n">
        <v>1731.22</v>
      </c>
      <c r="D188" t="n">
        <v>2873.81</v>
      </c>
      <c r="E188" t="n">
        <v>0.5256845615317776</v>
      </c>
      <c r="F188" t="n">
        <v>2.889670588380402</v>
      </c>
      <c r="G188" t="n">
        <v>5.722791873374903</v>
      </c>
      <c r="H188" t="n">
        <v>5569.116005081063</v>
      </c>
      <c r="I188" t="n">
        <v>84.23527496974964</v>
      </c>
      <c r="J188" t="n">
        <v>1588</v>
      </c>
    </row>
    <row r="189">
      <c r="A189" t="inlineStr">
        <is>
          <t>IT15Q15000000008</t>
        </is>
      </c>
      <c r="B189" t="inlineStr">
        <is>
          <t>Pozzuoli_Na_Impianto_Napoli_Ovest_Cuma</t>
        </is>
      </c>
      <c r="C189" t="n">
        <v>1468.73</v>
      </c>
      <c r="D189" t="n">
        <v>1848.89</v>
      </c>
      <c r="E189" t="n">
        <v>0.6044368495484844</v>
      </c>
      <c r="F189" t="n">
        <v>3.29925391069826</v>
      </c>
      <c r="G189" t="n">
        <v>7.45074270729645</v>
      </c>
      <c r="H189" t="n">
        <v>4407.111602806046</v>
      </c>
      <c r="I189" t="n">
        <v>66.39505157032262</v>
      </c>
      <c r="J189" t="n">
        <v>2481</v>
      </c>
    </row>
    <row r="190">
      <c r="A190" t="inlineStr">
        <is>
          <t>ES13280790001011E</t>
        </is>
      </c>
      <c r="B190" t="inlineStr">
        <is>
          <t>SUR</t>
        </is>
      </c>
      <c r="C190" t="n">
        <v>1593.12</v>
      </c>
      <c r="D190" t="n">
        <v>2930.66</v>
      </c>
      <c r="E190" t="n">
        <v>0.5022978495411035</v>
      </c>
      <c r="F190" t="n">
        <v>2.999920396333641</v>
      </c>
      <c r="G190" t="n">
        <v>5.645621926132478</v>
      </c>
      <c r="H190" t="n">
        <v>5801.622320938813</v>
      </c>
      <c r="I190" t="n">
        <v>87.98580286011759</v>
      </c>
      <c r="J190" t="n">
        <v>1362</v>
      </c>
    </row>
    <row r="191">
      <c r="A191" t="inlineStr">
        <is>
          <t>ES13280790001019E</t>
        </is>
      </c>
      <c r="B191" t="inlineStr">
        <is>
          <t>ARROYO CULEBRO CUENCA BAJA</t>
        </is>
      </c>
      <c r="C191" t="n">
        <v>1593.3</v>
      </c>
      <c r="D191" t="n">
        <v>2938.55</v>
      </c>
      <c r="E191" t="n">
        <v>0.5013314333088585</v>
      </c>
      <c r="F191" t="n">
        <v>2.999933939303799</v>
      </c>
      <c r="G191" t="n">
        <v>5.63630338920144</v>
      </c>
      <c r="H191" t="n">
        <v>5814.055880871098</v>
      </c>
      <c r="I191" t="n">
        <v>88.17286346958527</v>
      </c>
      <c r="J191" t="n">
        <v>1362</v>
      </c>
    </row>
    <row r="192">
      <c r="A192" t="inlineStr">
        <is>
          <t>ES13280790001012E</t>
        </is>
      </c>
      <c r="B192" t="inlineStr">
        <is>
          <t>LA CHINA</t>
        </is>
      </c>
      <c r="C192" t="n">
        <v>1593.12</v>
      </c>
      <c r="D192" t="n">
        <v>2930.66</v>
      </c>
      <c r="E192" t="n">
        <v>0.5022978495411035</v>
      </c>
      <c r="F192" t="n">
        <v>2.999920396333641</v>
      </c>
      <c r="G192" t="n">
        <v>5.645621926132478</v>
      </c>
      <c r="H192" t="n">
        <v>5801.622320938813</v>
      </c>
      <c r="I192" t="n">
        <v>87.98580286011759</v>
      </c>
      <c r="J192" t="n">
        <v>1362</v>
      </c>
    </row>
    <row r="193">
      <c r="A193" t="inlineStr">
        <is>
          <t>ES14300161912010E</t>
        </is>
      </c>
      <c r="B193" t="inlineStr">
        <is>
          <t>MAR MENOR SUR</t>
        </is>
      </c>
      <c r="C193" t="n">
        <v>1734.63</v>
      </c>
      <c r="D193" t="n">
        <v>3038.28</v>
      </c>
      <c r="E193" t="n">
        <v>0.5242662758111726</v>
      </c>
      <c r="F193" t="n">
        <v>2.750642415013981</v>
      </c>
      <c r="G193" t="n">
        <v>5.661670506356892</v>
      </c>
      <c r="H193" t="n">
        <v>5497.811890256364</v>
      </c>
      <c r="I193" t="n">
        <v>83.18928133503374</v>
      </c>
      <c r="J193" t="n">
        <v>1509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90"/>
  <sheetViews>
    <sheetView workbookViewId="0">
      <selection activeCell="A1" sqref="A1"/>
    </sheetView>
  </sheetViews>
  <sheetFormatPr baseColWidth="8" defaultRowHeight="15"/>
  <cols>
    <col width="67" customWidth="1" min="1" max="1"/>
    <col width="29" customWidth="1" min="2" max="2"/>
    <col width="39" customWidth="1" min="3" max="3"/>
    <col width="20" customWidth="1" min="4" max="4"/>
    <col width="27" customWidth="1" min="5" max="5"/>
    <col width="37" customWidth="1" min="6" max="6"/>
    <col width="56" customWidth="1" min="7" max="7"/>
    <col width="25" customWidth="1" min="8" max="8"/>
    <col width="18" customWidth="1" min="9" max="9"/>
    <col width="36" customWidth="1" min="10" max="10"/>
  </cols>
  <sheetData>
    <row r="1">
      <c r="A1" s="1" t="inlineStr">
        <is>
          <t>Name</t>
        </is>
      </c>
      <c r="B1" s="1" t="inlineStr">
        <is>
          <t>UWWTD Code</t>
        </is>
      </c>
      <c r="C1" s="1" t="inlineStr">
        <is>
          <t>Direct Distance to Power Network [km]</t>
        </is>
      </c>
      <c r="D1" s="1" t="inlineStr">
        <is>
          <t>Power Network Type</t>
        </is>
      </c>
      <c r="E1" s="1" t="inlineStr">
        <is>
          <t>Nearest Line Voltage [kV]</t>
        </is>
      </c>
      <c r="F1" s="1" t="inlineStr">
        <is>
          <t>Distance to Nearest Substation [km]</t>
        </is>
      </c>
      <c r="G1" s="1" t="inlineStr">
        <is>
          <t>Nearest Substation Name</t>
        </is>
      </c>
      <c r="H1" s="1" t="inlineStr">
        <is>
          <t>Substation Voltage [kV]</t>
        </is>
      </c>
      <c r="I1" s="1" t="inlineStr">
        <is>
          <t>EIC</t>
        </is>
      </c>
      <c r="J1" s="1" t="inlineStr">
        <is>
          <t>Annual Average Price [ct/kWh] 2024</t>
        </is>
      </c>
    </row>
    <row r="2">
      <c r="A2" t="inlineStr">
        <is>
          <t>Klärwerksverbund Köhlbrandhöft Dradenau</t>
        </is>
      </c>
      <c r="B2" t="inlineStr">
        <is>
          <t>DETP_HH4/4 AI 3</t>
        </is>
      </c>
      <c r="C2" t="n">
        <v>0.211</v>
      </c>
      <c r="D2" t="inlineStr">
        <is>
          <t>line</t>
        </is>
      </c>
      <c r="E2" t="n">
        <v>110</v>
      </c>
      <c r="F2" t="n">
        <v>0.372</v>
      </c>
      <c r="G2" t="inlineStr">
        <is>
          <t>Altenwerder</t>
        </is>
      </c>
      <c r="H2" t="n">
        <v>110</v>
      </c>
      <c r="I2" t="inlineStr">
        <is>
          <t>10Y1001A1001A83F</t>
        </is>
      </c>
      <c r="J2" t="n">
        <v>25.44809445582878</v>
      </c>
    </row>
    <row r="3">
      <c r="A3" t="inlineStr">
        <is>
          <t>UWWTP NIEUWVEER</t>
        </is>
      </c>
      <c r="B3" t="inlineStr">
        <is>
          <t>NL25017</t>
        </is>
      </c>
      <c r="C3" t="n">
        <v>1.238</v>
      </c>
      <c r="D3" t="inlineStr">
        <is>
          <t>line</t>
        </is>
      </c>
      <c r="E3" t="n">
        <v>150</v>
      </c>
      <c r="F3" t="n">
        <v>5.117</v>
      </c>
      <c r="G3" t="inlineStr">
        <is>
          <t>150 kV Breda</t>
        </is>
      </c>
      <c r="H3" t="n">
        <v>150</v>
      </c>
      <c r="I3" t="inlineStr">
        <is>
          <t>10YNL----------L</t>
        </is>
      </c>
      <c r="J3" t="n">
        <v>24.70800927541208</v>
      </c>
    </row>
    <row r="4">
      <c r="A4" t="inlineStr">
        <is>
          <t>Asten - Regionalkläranlage</t>
        </is>
      </c>
      <c r="B4" t="inlineStr">
        <is>
          <t>ATTP_4-41003001</t>
        </is>
      </c>
      <c r="C4" t="n">
        <v>0.264</v>
      </c>
      <c r="D4" t="inlineStr">
        <is>
          <t>line</t>
        </is>
      </c>
      <c r="E4" t="n">
        <v>110</v>
      </c>
      <c r="F4" t="n">
        <v>2.702</v>
      </c>
      <c r="G4" t="inlineStr">
        <is>
          <t>Umspannwerk Tillysburg</t>
        </is>
      </c>
      <c r="H4" t="n">
        <v>110</v>
      </c>
      <c r="I4" t="inlineStr">
        <is>
          <t>10YAT-APG------L</t>
        </is>
      </c>
      <c r="J4" t="n">
        <v>19.06553636363637</v>
      </c>
    </row>
    <row r="5">
      <c r="A5" t="inlineStr">
        <is>
          <t>Hauptkläranlage Wien</t>
        </is>
      </c>
      <c r="B5" t="inlineStr">
        <is>
          <t>ATTP_9-HKA-Simmering</t>
        </is>
      </c>
      <c r="C5" t="n">
        <v>0.422</v>
      </c>
      <c r="D5" t="inlineStr">
        <is>
          <t>line</t>
        </is>
      </c>
      <c r="E5" t="n">
        <v>110</v>
      </c>
      <c r="F5" t="n">
        <v>1.881</v>
      </c>
      <c r="G5" t="inlineStr">
        <is>
          <t>Umspannwerk Kaiserebersdorf</t>
        </is>
      </c>
      <c r="H5" t="n">
        <v>110</v>
      </c>
      <c r="I5" t="inlineStr">
        <is>
          <t>10YAT-APG------L</t>
        </is>
      </c>
      <c r="J5" t="n">
        <v>19.06553636363637</v>
      </c>
    </row>
    <row r="6">
      <c r="A6" t="inlineStr">
        <is>
          <t>Kraków-Płaszów</t>
        </is>
      </c>
      <c r="B6" t="inlineStr">
        <is>
          <t>PLMP0011</t>
        </is>
      </c>
      <c r="C6" t="n">
        <v>0.356</v>
      </c>
      <c r="D6" t="inlineStr">
        <is>
          <t>line</t>
        </is>
      </c>
      <c r="E6" t="n">
        <v>110</v>
      </c>
      <c r="F6" t="n">
        <v>0.376</v>
      </c>
      <c r="G6" t="inlineStr">
        <is>
          <t>KRP 3061</t>
        </is>
      </c>
      <c r="H6" t="n">
        <v>400</v>
      </c>
      <c r="I6" t="inlineStr">
        <is>
          <t>10YPL-AREA-----S</t>
        </is>
      </c>
      <c r="J6" t="n">
        <v>33.22811444946778</v>
      </c>
    </row>
    <row r="7">
      <c r="A7" t="inlineStr">
        <is>
          <t>Köln Stammheim</t>
        </is>
      </c>
      <c r="B7" t="inlineStr">
        <is>
          <t>DETP_NW1805</t>
        </is>
      </c>
      <c r="C7" t="n">
        <v>1.756</v>
      </c>
      <c r="D7" t="inlineStr">
        <is>
          <t>line</t>
        </is>
      </c>
      <c r="E7" t="n">
        <v>110</v>
      </c>
      <c r="F7" t="n">
        <v>1.958</v>
      </c>
      <c r="G7" t="inlineStr">
        <is>
          <t>Station Bayer X 36</t>
        </is>
      </c>
      <c r="H7" t="n">
        <v>220</v>
      </c>
      <c r="I7" t="inlineStr">
        <is>
          <t>10Y1001A1001A83F</t>
        </is>
      </c>
      <c r="J7" t="n">
        <v>25.44809445582878</v>
      </c>
    </row>
    <row r="8">
      <c r="A8" t="inlineStr">
        <is>
          <t>ROWP SC APA NOVA SA BUCURESTI</t>
        </is>
      </c>
      <c r="B8" t="inlineStr">
        <is>
          <t>RO8IF_53</t>
        </is>
      </c>
      <c r="C8" t="n">
        <v>0.647</v>
      </c>
      <c r="D8" t="inlineStr">
        <is>
          <t>line</t>
        </is>
      </c>
      <c r="E8" t="n">
        <v>220</v>
      </c>
      <c r="F8" t="n">
        <v>0.797</v>
      </c>
      <c r="G8" t="inlineStr">
        <is>
          <t>Stația Mostiștea</t>
        </is>
      </c>
      <c r="H8" t="n">
        <v>220</v>
      </c>
      <c r="I8" t="inlineStr">
        <is>
          <t>10YRO-TEL------P</t>
        </is>
      </c>
      <c r="J8" t="n">
        <v>21.95911719869046</v>
      </c>
    </row>
    <row r="9">
      <c r="A9" t="inlineStr">
        <is>
          <t>Centralna Oczyszczalnia Ścieków w Gliwicach</t>
        </is>
      </c>
      <c r="B9" t="inlineStr">
        <is>
          <t>PLSL0090</t>
        </is>
      </c>
      <c r="C9" t="n">
        <v>0.169</v>
      </c>
      <c r="D9" t="inlineStr">
        <is>
          <t>line</t>
        </is>
      </c>
      <c r="E9" t="n">
        <v>110</v>
      </c>
      <c r="F9" t="n">
        <v>1.22</v>
      </c>
      <c r="G9" t="inlineStr">
        <is>
          <t>GLG G1004</t>
        </is>
      </c>
      <c r="H9" t="n">
        <v>400</v>
      </c>
      <c r="I9" t="inlineStr">
        <is>
          <t>10YPL-AREA-----S</t>
        </is>
      </c>
      <c r="J9" t="n">
        <v>33.22811444946778</v>
      </c>
    </row>
    <row r="10">
      <c r="A10" t="inlineStr">
        <is>
          <t>ZARAGOZA (LA CARTUJA)</t>
        </is>
      </c>
      <c r="B10" t="inlineStr">
        <is>
          <t>ES2502970002010E</t>
        </is>
      </c>
      <c r="C10" t="n">
        <v>0.834</v>
      </c>
      <c r="D10" t="inlineStr">
        <is>
          <t>line</t>
        </is>
      </c>
      <c r="E10" t="n">
        <v>220</v>
      </c>
      <c r="F10" t="n">
        <v>3.705</v>
      </c>
      <c r="G10" t="inlineStr">
        <is>
          <t>Substacion Monte Torrero</t>
        </is>
      </c>
      <c r="H10" t="n">
        <v>220</v>
      </c>
      <c r="I10" t="inlineStr">
        <is>
          <t>10YES-REE------0</t>
        </is>
      </c>
      <c r="J10" t="n">
        <v>16.61601044273461</v>
      </c>
    </row>
    <row r="11">
      <c r="A11" t="inlineStr">
        <is>
          <t>Zakład Oczyszczalni Ścieków "Czajka"</t>
        </is>
      </c>
      <c r="B11" t="inlineStr">
        <is>
          <t>PLMZ0011</t>
        </is>
      </c>
      <c r="C11" t="n">
        <v>0.791</v>
      </c>
      <c r="D11" t="inlineStr">
        <is>
          <t>line</t>
        </is>
      </c>
      <c r="E11" t="n">
        <v>110</v>
      </c>
      <c r="F11" t="n">
        <v>0.799</v>
      </c>
      <c r="G11" t="inlineStr">
        <is>
          <t>Stacja elektroenergetyczna "Płudy" 110/15kV</t>
        </is>
      </c>
      <c r="H11" t="n">
        <v>110</v>
      </c>
      <c r="I11" t="inlineStr">
        <is>
          <t>10YPL-AREA-----S</t>
        </is>
      </c>
      <c r="J11" t="n">
        <v>33.22811444946778</v>
      </c>
    </row>
    <row r="12">
      <c r="A12" t="inlineStr">
        <is>
          <t>Krefeld</t>
        </is>
      </c>
      <c r="B12" t="inlineStr">
        <is>
          <t>DETP_NW2102</t>
        </is>
      </c>
      <c r="C12" t="n">
        <v>0.652</v>
      </c>
      <c r="D12" t="inlineStr">
        <is>
          <t>line</t>
        </is>
      </c>
      <c r="E12" t="n">
        <v>380</v>
      </c>
      <c r="F12" t="n">
        <v>1.117</v>
      </c>
      <c r="G12" t="inlineStr">
        <is>
          <t>Uerdingen</t>
        </is>
      </c>
      <c r="H12" t="n">
        <v>220</v>
      </c>
      <c r="I12" t="inlineStr">
        <is>
          <t>10Y1001A1001A83F</t>
        </is>
      </c>
      <c r="J12" t="n">
        <v>25.44809445582878</v>
      </c>
    </row>
    <row r="13">
      <c r="A13" t="inlineStr">
        <is>
          <t>UWWTP TILBURG-NOORD</t>
        </is>
      </c>
      <c r="B13" t="inlineStr">
        <is>
          <t>NL32002</t>
        </is>
      </c>
      <c r="C13" t="n">
        <v>0.267</v>
      </c>
      <c r="D13" t="inlineStr">
        <is>
          <t>line</t>
        </is>
      </c>
      <c r="E13" t="n">
        <v>380</v>
      </c>
      <c r="F13" t="n">
        <v>2.837</v>
      </c>
      <c r="G13" t="inlineStr">
        <is>
          <t>150 kV Tilburg West</t>
        </is>
      </c>
      <c r="H13" t="n">
        <v>150</v>
      </c>
      <c r="I13" t="inlineStr">
        <is>
          <t>10YNL----------L</t>
        </is>
      </c>
      <c r="J13" t="n">
        <v>24.70800927541208</v>
      </c>
    </row>
    <row r="14">
      <c r="A14" t="inlineStr">
        <is>
          <t>Kläranlage Mannheim</t>
        </is>
      </c>
      <c r="B14" t="inlineStr">
        <is>
          <t>DETP_BW2225100000001</t>
        </is>
      </c>
      <c r="C14" t="n">
        <v>1.465</v>
      </c>
      <c r="D14" t="inlineStr">
        <is>
          <t>minor_line</t>
        </is>
      </c>
      <c r="E14" t="n">
        <v>400</v>
      </c>
      <c r="F14" t="n">
        <v>2.128</v>
      </c>
      <c r="G14" t="inlineStr">
        <is>
          <t>Sa 60</t>
        </is>
      </c>
      <c r="H14" t="n">
        <v>400</v>
      </c>
      <c r="I14" t="inlineStr">
        <is>
          <t>10Y1001A1001A83F</t>
        </is>
      </c>
      <c r="J14" t="n">
        <v>25.44809445582878</v>
      </c>
    </row>
    <row r="15">
      <c r="A15" t="inlineStr">
        <is>
          <t>PRAT DE LLOBREGAT (EL)</t>
        </is>
      </c>
      <c r="B15" t="inlineStr">
        <is>
          <t>ES9081690001010E</t>
        </is>
      </c>
      <c r="C15" t="n">
        <v>0.859</v>
      </c>
      <c r="D15" t="inlineStr">
        <is>
          <t>line</t>
        </is>
      </c>
      <c r="E15" t="n">
        <v>110</v>
      </c>
      <c r="F15" t="n">
        <v>2.029</v>
      </c>
      <c r="G15" t="inlineStr">
        <is>
          <t>Subestació Aeroport</t>
        </is>
      </c>
      <c r="H15" t="n">
        <v>220</v>
      </c>
      <c r="I15" t="inlineStr">
        <is>
          <t>10YES-REE------0</t>
        </is>
      </c>
      <c r="J15" t="n">
        <v>16.61601044273461</v>
      </c>
    </row>
    <row r="16">
      <c r="A16" t="inlineStr">
        <is>
          <t>Crispijana</t>
        </is>
      </c>
      <c r="B16" t="inlineStr">
        <is>
          <t>ES16010590063010E</t>
        </is>
      </c>
      <c r="C16" t="n">
        <v>0.413</v>
      </c>
      <c r="D16" t="inlineStr">
        <is>
          <t>line</t>
        </is>
      </c>
      <c r="E16" t="n">
        <v>400</v>
      </c>
      <c r="F16" t="n">
        <v>1.839</v>
      </c>
      <c r="G16" t="inlineStr">
        <is>
          <t>Subestación de Jundiz</t>
        </is>
      </c>
      <c r="H16" t="n">
        <v>220</v>
      </c>
      <c r="I16" t="inlineStr">
        <is>
          <t>10YES-REE------0</t>
        </is>
      </c>
      <c r="J16" t="n">
        <v>16.61601044273461</v>
      </c>
    </row>
    <row r="17">
      <c r="A17" t="inlineStr">
        <is>
          <t>Waßmannsdorf</t>
        </is>
      </c>
      <c r="B17" t="inlineStr">
        <is>
          <t>DETP_BE03</t>
        </is>
      </c>
      <c r="C17" t="n">
        <v>0.268</v>
      </c>
      <c r="D17" t="inlineStr">
        <is>
          <t>line</t>
        </is>
      </c>
      <c r="E17" t="n">
        <v>220</v>
      </c>
      <c r="F17" t="n">
        <v>1.563</v>
      </c>
      <c r="G17" t="inlineStr">
        <is>
          <t>Umspannwerk Schönefeld Nord</t>
        </is>
      </c>
      <c r="H17" t="n">
        <v>110</v>
      </c>
      <c r="I17" t="inlineStr">
        <is>
          <t>10Y1001A1001A83F</t>
        </is>
      </c>
      <c r="J17" t="n">
        <v>25.44809445582878</v>
      </c>
    </row>
    <row r="18">
      <c r="A18" t="inlineStr">
        <is>
          <t>UCOV Ostrava - Privoz</t>
        </is>
      </c>
      <c r="B18" t="inlineStr">
        <is>
          <t>CZ8119-713767-00845451-4/1U</t>
        </is>
      </c>
      <c r="C18" t="n">
        <v>0.313</v>
      </c>
      <c r="D18" t="inlineStr">
        <is>
          <t>line</t>
        </is>
      </c>
      <c r="E18" t="n">
        <v>110</v>
      </c>
      <c r="F18" t="n">
        <v>3.646</v>
      </c>
      <c r="G18" t="inlineStr">
        <is>
          <t>Třebovice</t>
        </is>
      </c>
      <c r="H18" t="n">
        <v>110</v>
      </c>
      <c r="I18" t="inlineStr">
        <is>
          <t>10YCZ-CEPS-----N</t>
        </is>
      </c>
      <c r="J18" t="n">
        <v>25.02350585315412</v>
      </c>
    </row>
    <row r="19">
      <c r="A19" t="inlineStr">
        <is>
          <t>UWWTP Plovdiv</t>
        </is>
      </c>
      <c r="B19" t="inlineStr">
        <is>
          <t>BGWT56784_00_01</t>
        </is>
      </c>
      <c r="C19" t="n">
        <v>0.282</v>
      </c>
      <c r="D19" t="inlineStr">
        <is>
          <t>line</t>
        </is>
      </c>
      <c r="E19" t="n">
        <v>110</v>
      </c>
      <c r="F19" t="n">
        <v>3.398</v>
      </c>
      <c r="G19" t="inlineStr">
        <is>
          <t>Подстанция Евмолпия</t>
        </is>
      </c>
      <c r="H19" t="n">
        <v>110</v>
      </c>
      <c r="I19" t="inlineStr">
        <is>
          <t>10YCA-BULGARIA-R</t>
        </is>
      </c>
      <c r="J19" t="n">
        <v>16.45756073420074</v>
      </c>
    </row>
    <row r="20">
      <c r="A20" t="inlineStr">
        <is>
          <t>Kläranlage Seehausen</t>
        </is>
      </c>
      <c r="B20" t="inlineStr">
        <is>
          <t>DETP_HB18-1</t>
        </is>
      </c>
      <c r="C20" t="n">
        <v>1.261</v>
      </c>
      <c r="D20" t="inlineStr">
        <is>
          <t>cable</t>
        </is>
      </c>
      <c r="E20" t="n">
        <v>110</v>
      </c>
      <c r="F20" t="n">
        <v>1.41</v>
      </c>
      <c r="G20" t="inlineStr">
        <is>
          <t>48950921</t>
        </is>
      </c>
      <c r="H20" t="n">
        <v>110</v>
      </c>
      <c r="I20" t="inlineStr">
        <is>
          <t>10Y1001A1001A83F</t>
        </is>
      </c>
      <c r="J20" t="n">
        <v>25.44809445582878</v>
      </c>
    </row>
    <row r="21">
      <c r="A21" t="inlineStr">
        <is>
          <t>Bitterfeld-Wolfen</t>
        </is>
      </c>
      <c r="B21" t="inlineStr">
        <is>
          <t>DETP_ST151541000001</t>
        </is>
      </c>
      <c r="C21" t="n">
        <v>1.133</v>
      </c>
      <c r="D21" t="inlineStr">
        <is>
          <t>line</t>
        </is>
      </c>
      <c r="E21" t="n">
        <v>110</v>
      </c>
      <c r="F21" t="n">
        <v>1.097</v>
      </c>
      <c r="G21" t="inlineStr">
        <is>
          <t>Wolfen Ost</t>
        </is>
      </c>
      <c r="H21" t="n">
        <v>110</v>
      </c>
      <c r="I21" t="inlineStr">
        <is>
          <t>10Y1001A1001A83F</t>
        </is>
      </c>
      <c r="J21" t="n">
        <v>25.44809445582878</v>
      </c>
    </row>
    <row r="22">
      <c r="A22" t="inlineStr">
        <is>
          <t>Duisburg-Kaßlerfeld</t>
        </is>
      </c>
      <c r="B22" t="inlineStr">
        <is>
          <t>DETP_NW904</t>
        </is>
      </c>
      <c r="C22" t="n">
        <v>1.663</v>
      </c>
      <c r="D22" t="inlineStr">
        <is>
          <t>line</t>
        </is>
      </c>
      <c r="E22" t="n">
        <v>110</v>
      </c>
      <c r="F22" t="n">
        <v>1.631</v>
      </c>
      <c r="G22" t="inlineStr">
        <is>
          <t>Station Ruhrort</t>
        </is>
      </c>
      <c r="H22" t="n">
        <v>220</v>
      </c>
      <c r="I22" t="inlineStr">
        <is>
          <t>10Y1001A1001A83F</t>
        </is>
      </c>
      <c r="J22" t="n">
        <v>25.44809445582878</v>
      </c>
    </row>
    <row r="23">
      <c r="A23" t="inlineStr">
        <is>
          <t>Centralna Oczyszczalnia Ścieków w Koziegłowach</t>
        </is>
      </c>
      <c r="B23" t="inlineStr">
        <is>
          <t>PLWL0011</t>
        </is>
      </c>
      <c r="C23" t="n">
        <v>0.16</v>
      </c>
      <c r="D23" t="inlineStr">
        <is>
          <t>line</t>
        </is>
      </c>
      <c r="E23" t="n">
        <v>110</v>
      </c>
      <c r="F23" t="n">
        <v>0.387</v>
      </c>
      <c r="G23" t="inlineStr">
        <is>
          <t>Stacja elektroenergetyczna 110kV „COŚ”</t>
        </is>
      </c>
      <c r="H23" t="n">
        <v>110</v>
      </c>
      <c r="I23" t="inlineStr">
        <is>
          <t>10YPL-AREA-----S</t>
        </is>
      </c>
      <c r="J23" t="n">
        <v>33.22811444946778</v>
      </c>
    </row>
    <row r="24">
      <c r="A24" t="inlineStr">
        <is>
          <t>ROWP GALATI</t>
        </is>
      </c>
      <c r="B24" t="inlineStr">
        <is>
          <t>RO2GL_51</t>
        </is>
      </c>
      <c r="C24" t="n">
        <v>0.187</v>
      </c>
      <c r="D24" t="inlineStr">
        <is>
          <t>line</t>
        </is>
      </c>
      <c r="E24" t="n">
        <v>110</v>
      </c>
      <c r="F24" t="n">
        <v>3.449</v>
      </c>
      <c r="G24" t="inlineStr">
        <is>
          <t>Filesti</t>
        </is>
      </c>
      <c r="H24" t="n">
        <v>220</v>
      </c>
      <c r="I24" t="inlineStr">
        <is>
          <t>10YRO-TEL------P</t>
        </is>
      </c>
      <c r="J24" t="n">
        <v>21.95911719869046</v>
      </c>
    </row>
    <row r="25">
      <c r="A25" t="inlineStr">
        <is>
          <t>SKA Karlsruhe Neureut</t>
        </is>
      </c>
      <c r="B25" t="inlineStr">
        <is>
          <t>DETP_BW2125100000014</t>
        </is>
      </c>
      <c r="C25" t="n">
        <v>1.116</v>
      </c>
      <c r="D25" t="inlineStr">
        <is>
          <t>cable</t>
        </is>
      </c>
      <c r="E25" t="n">
        <v>750</v>
      </c>
      <c r="F25" t="n">
        <v>0.928</v>
      </c>
      <c r="G25" t="inlineStr">
        <is>
          <t>Umspannwerk Heide</t>
        </is>
      </c>
      <c r="H25" t="n">
        <v>110</v>
      </c>
      <c r="I25" t="inlineStr">
        <is>
          <t>10Y1001A1001A83F</t>
        </is>
      </c>
      <c r="J25" t="n">
        <v>25.44809445582878</v>
      </c>
    </row>
    <row r="26">
      <c r="A26" t="inlineStr">
        <is>
          <t>Gratkorn</t>
        </is>
      </c>
      <c r="B26" t="inlineStr">
        <is>
          <t>ATTP_6-M3631054R0</t>
        </is>
      </c>
      <c r="C26" t="n">
        <v>0.058</v>
      </c>
      <c r="D26" t="inlineStr">
        <is>
          <t>line</t>
        </is>
      </c>
      <c r="E26" t="n">
        <v>110</v>
      </c>
      <c r="F26" t="n">
        <v>1.367</v>
      </c>
      <c r="G26" t="inlineStr">
        <is>
          <t>Umspannwerk Gratkorn</t>
        </is>
      </c>
      <c r="H26" t="n">
        <v>110</v>
      </c>
      <c r="I26" t="inlineStr">
        <is>
          <t>10YAT-APG------L</t>
        </is>
      </c>
      <c r="J26" t="n">
        <v>19.06553636363637</v>
      </c>
    </row>
    <row r="27">
      <c r="A27" t="inlineStr">
        <is>
          <t>Arzignano_Via_Altura</t>
        </is>
      </c>
      <c r="B27" t="inlineStr">
        <is>
          <t>IT05000000000043</t>
        </is>
      </c>
      <c r="C27" t="n">
        <v>0.236</v>
      </c>
      <c r="D27" t="inlineStr">
        <is>
          <t>line</t>
        </is>
      </c>
      <c r="E27" t="n">
        <v>380</v>
      </c>
      <c r="F27" t="n">
        <v>1.059</v>
      </c>
      <c r="G27" t="inlineStr">
        <is>
          <t>Arzignano</t>
        </is>
      </c>
      <c r="H27" t="n">
        <v>132</v>
      </c>
      <c r="I27" t="inlineStr">
        <is>
          <t>10Y1001A1001A73I</t>
        </is>
      </c>
      <c r="J27" t="n">
        <v>26.51505473548083</v>
      </c>
    </row>
    <row r="28">
      <c r="A28" t="inlineStr">
        <is>
          <t>Duisburg-Alte Emscher</t>
        </is>
      </c>
      <c r="B28" t="inlineStr">
        <is>
          <t>DETP_NW906</t>
        </is>
      </c>
      <c r="C28" t="n">
        <v>0.057</v>
      </c>
      <c r="D28" t="inlineStr">
        <is>
          <t>line</t>
        </is>
      </c>
      <c r="E28" t="n">
        <v>220</v>
      </c>
      <c r="F28" t="n">
        <v>1.225</v>
      </c>
      <c r="G28" t="inlineStr">
        <is>
          <t>Station Beeck</t>
        </is>
      </c>
      <c r="H28" t="n">
        <v>220</v>
      </c>
      <c r="I28" t="inlineStr">
        <is>
          <t>10Y1001A1001A83F</t>
        </is>
      </c>
      <c r="J28" t="n">
        <v>25.44809445582878</v>
      </c>
    </row>
    <row r="29">
      <c r="A29" t="inlineStr">
        <is>
          <t>Wiesbaden / Mitte</t>
        </is>
      </c>
      <c r="B29" t="inlineStr">
        <is>
          <t>DETP_HE064140000101</t>
        </is>
      </c>
      <c r="C29" t="n">
        <v>0.421</v>
      </c>
      <c r="D29" t="inlineStr">
        <is>
          <t>line</t>
        </is>
      </c>
      <c r="E29" t="n">
        <v>110</v>
      </c>
      <c r="F29" t="n">
        <v>0.929</v>
      </c>
      <c r="G29" t="inlineStr">
        <is>
          <t>24437487</t>
        </is>
      </c>
      <c r="H29" t="n">
        <v>110</v>
      </c>
      <c r="I29" t="inlineStr">
        <is>
          <t>10Y1001A1001A83F</t>
        </is>
      </c>
      <c r="J29" t="n">
        <v>25.44809445582878</v>
      </c>
    </row>
    <row r="30">
      <c r="A30" t="inlineStr">
        <is>
          <t>Emscherkläranlage</t>
        </is>
      </c>
      <c r="B30" t="inlineStr">
        <is>
          <t>DETP_NW905</t>
        </is>
      </c>
      <c r="C30" t="n">
        <v>0.414</v>
      </c>
      <c r="D30" t="inlineStr">
        <is>
          <t>line</t>
        </is>
      </c>
      <c r="E30" t="n">
        <v>220</v>
      </c>
      <c r="F30" t="n">
        <v>0.804</v>
      </c>
      <c r="G30" t="inlineStr">
        <is>
          <t>Station Wehofen</t>
        </is>
      </c>
      <c r="H30" t="n">
        <v>110</v>
      </c>
      <c r="I30" t="inlineStr">
        <is>
          <t>10Y1001A1001A83F</t>
        </is>
      </c>
      <c r="J30" t="n">
        <v>25.44809445582878</v>
      </c>
    </row>
    <row r="31">
      <c r="A31" t="inlineStr">
        <is>
          <t>Graz-Gössendorf</t>
        </is>
      </c>
      <c r="B31" t="inlineStr">
        <is>
          <t>ATTP_6-M3489301R0</t>
        </is>
      </c>
      <c r="C31" t="n">
        <v>0.269</v>
      </c>
      <c r="D31" t="inlineStr">
        <is>
          <t>line</t>
        </is>
      </c>
      <c r="E31" t="n">
        <v>110</v>
      </c>
      <c r="F31" t="n">
        <v>8.65</v>
      </c>
      <c r="G31" t="inlineStr">
        <is>
          <t>Schloss Waasen</t>
        </is>
      </c>
      <c r="H31" t="n">
        <v>400</v>
      </c>
      <c r="I31" t="inlineStr">
        <is>
          <t>10YAT-APG------L</t>
        </is>
      </c>
      <c r="J31" t="n">
        <v>19.06553636363637</v>
      </c>
    </row>
    <row r="32">
      <c r="A32" t="inlineStr">
        <is>
          <t>München II - Gut Marienhof</t>
        </is>
      </c>
      <c r="B32" t="inlineStr">
        <is>
          <t>DETP_BYM-K0001</t>
        </is>
      </c>
      <c r="C32" t="n">
        <v>0.211</v>
      </c>
      <c r="D32" t="inlineStr">
        <is>
          <t>line</t>
        </is>
      </c>
      <c r="E32" t="n">
        <v>110</v>
      </c>
      <c r="F32" t="n">
        <v>5.654</v>
      </c>
      <c r="G32" t="inlineStr">
        <is>
          <t>85284549</t>
        </is>
      </c>
      <c r="H32" t="n">
        <v>110</v>
      </c>
      <c r="I32" t="inlineStr">
        <is>
          <t>10Y1001A1001A83F</t>
        </is>
      </c>
      <c r="J32" t="n">
        <v>25.44809445582878</v>
      </c>
    </row>
    <row r="33">
      <c r="A33" t="inlineStr">
        <is>
          <t>Dp01514602_Milano_S_Rocco</t>
        </is>
      </c>
      <c r="B33" t="inlineStr">
        <is>
          <t>IT03160128000457</t>
        </is>
      </c>
      <c r="C33" t="n">
        <v>0.766</v>
      </c>
      <c r="D33" t="inlineStr">
        <is>
          <t>line</t>
        </is>
      </c>
      <c r="E33" t="n">
        <v>220</v>
      </c>
      <c r="F33" t="n">
        <v>2.295</v>
      </c>
      <c r="G33" t="inlineStr">
        <is>
          <t>Rozzano</t>
        </is>
      </c>
      <c r="H33" t="n">
        <v>220</v>
      </c>
      <c r="I33" t="inlineStr">
        <is>
          <t>10Y1001A1001A73I</t>
        </is>
      </c>
      <c r="J33" t="n">
        <v>26.51505473548083</v>
      </c>
    </row>
    <row r="34">
      <c r="A34" t="inlineStr">
        <is>
          <t>Loiola</t>
        </is>
      </c>
      <c r="B34" t="inlineStr">
        <is>
          <t>ES16200690005010E</t>
        </is>
      </c>
      <c r="C34" t="n">
        <v>0.876</v>
      </c>
      <c r="D34" t="inlineStr">
        <is>
          <t>line</t>
        </is>
      </c>
      <c r="E34" t="n">
        <v>132</v>
      </c>
      <c r="F34" t="n">
        <v>4.364</v>
      </c>
      <c r="G34" t="inlineStr">
        <is>
          <t>Subestación Eléctrica de Hernani</t>
        </is>
      </c>
      <c r="H34" t="n">
        <v>400</v>
      </c>
      <c r="I34" t="inlineStr">
        <is>
          <t>10YES-REE------0</t>
        </is>
      </c>
      <c r="J34" t="n">
        <v>16.61601044273461</v>
      </c>
    </row>
    <row r="35">
      <c r="A35" t="inlineStr">
        <is>
          <t>Kraków-Kujawy</t>
        </is>
      </c>
      <c r="B35" t="inlineStr">
        <is>
          <t>PLMP0016</t>
        </is>
      </c>
      <c r="C35" t="n">
        <v>1.372</v>
      </c>
      <c r="D35" t="inlineStr">
        <is>
          <t>cable</t>
        </is>
      </c>
      <c r="E35" t="n">
        <v>110</v>
      </c>
      <c r="F35" t="n">
        <v>1.517</v>
      </c>
      <c r="G35" t="inlineStr">
        <is>
          <t>1280023512</t>
        </is>
      </c>
      <c r="H35" t="n">
        <v>400</v>
      </c>
      <c r="I35" t="inlineStr">
        <is>
          <t>10YPL-AREA-----S</t>
        </is>
      </c>
      <c r="J35" t="n">
        <v>33.22811444946778</v>
      </c>
    </row>
    <row r="36">
      <c r="A36" t="inlineStr">
        <is>
          <t>Bottrop</t>
        </is>
      </c>
      <c r="B36" t="inlineStr">
        <is>
          <t>DETP_NW1502</t>
        </is>
      </c>
      <c r="C36" t="n">
        <v>0.795</v>
      </c>
      <c r="D36" t="inlineStr">
        <is>
          <t>line</t>
        </is>
      </c>
      <c r="E36" t="n">
        <v>380</v>
      </c>
      <c r="F36" t="n">
        <v>0.868</v>
      </c>
      <c r="G36" t="inlineStr">
        <is>
          <t>Station Karnap</t>
        </is>
      </c>
      <c r="H36" t="n">
        <v>380</v>
      </c>
      <c r="I36" t="inlineStr">
        <is>
          <t>10Y1001A1001A83F</t>
        </is>
      </c>
      <c r="J36" t="n">
        <v>25.44809445582878</v>
      </c>
    </row>
    <row r="37">
      <c r="A37" t="inlineStr">
        <is>
          <t>Mainz</t>
        </is>
      </c>
      <c r="B37" t="inlineStr">
        <is>
          <t>DETP_RP102380095</t>
        </is>
      </c>
      <c r="C37" t="n">
        <v>0.266</v>
      </c>
      <c r="D37" t="inlineStr">
        <is>
          <t>line</t>
        </is>
      </c>
      <c r="E37" t="n">
        <v>110</v>
      </c>
      <c r="F37" t="n">
        <v>2.047</v>
      </c>
      <c r="G37" t="inlineStr">
        <is>
          <t>Umspannwerk Budenheim</t>
        </is>
      </c>
      <c r="H37" t="n">
        <v>110</v>
      </c>
      <c r="I37" t="inlineStr">
        <is>
          <t>10Y1001A1001A83F</t>
        </is>
      </c>
      <c r="J37" t="n">
        <v>25.44809445582878</v>
      </c>
    </row>
    <row r="38">
      <c r="A38" t="inlineStr">
        <is>
          <t>Augsburg</t>
        </is>
      </c>
      <c r="B38" t="inlineStr">
        <is>
          <t>DETP_BYDON-K0001</t>
        </is>
      </c>
      <c r="C38" t="n">
        <v>0.145</v>
      </c>
      <c r="D38" t="inlineStr">
        <is>
          <t>line</t>
        </is>
      </c>
      <c r="E38" t="n">
        <v>110</v>
      </c>
      <c r="F38" t="n">
        <v>2.432</v>
      </c>
      <c r="G38" t="inlineStr">
        <is>
          <t>Umspannwerk Augsburg-Nord</t>
        </is>
      </c>
      <c r="H38" t="n">
        <v>110</v>
      </c>
      <c r="I38" t="inlineStr">
        <is>
          <t>10Y1001A1001A83F</t>
        </is>
      </c>
      <c r="J38" t="n">
        <v>25.44809445582878</v>
      </c>
    </row>
    <row r="39">
      <c r="A39" t="inlineStr">
        <is>
          <t>LE HAVRE</t>
        </is>
      </c>
      <c r="B39" t="inlineStr">
        <is>
          <t>FR037635102000</t>
        </is>
      </c>
      <c r="C39" t="n">
        <v>0.201</v>
      </c>
      <c r="D39" t="inlineStr">
        <is>
          <t>line</t>
        </is>
      </c>
      <c r="E39" t="n">
        <v>400</v>
      </c>
      <c r="F39" t="n">
        <v>0.189</v>
      </c>
      <c r="G39" t="inlineStr">
        <is>
          <t>Poste électrique du Havre</t>
        </is>
      </c>
      <c r="H39" t="n">
        <v>400</v>
      </c>
      <c r="I39" t="inlineStr">
        <is>
          <t>10YFR-RTE------C</t>
        </is>
      </c>
      <c r="J39" t="n">
        <v>15.19043726169844</v>
      </c>
    </row>
    <row r="40">
      <c r="A40" t="inlineStr">
        <is>
          <t>Dp01514601_Milano_Nosedo</t>
        </is>
      </c>
      <c r="B40" t="inlineStr">
        <is>
          <t>IT03160128000456</t>
        </is>
      </c>
      <c r="C40" t="n">
        <v>0.178</v>
      </c>
      <c r="D40" t="inlineStr">
        <is>
          <t>line</t>
        </is>
      </c>
      <c r="E40" t="n">
        <v>132</v>
      </c>
      <c r="F40" t="n">
        <v>0.173</v>
      </c>
      <c r="G40" t="inlineStr">
        <is>
          <t>Nosedo CS</t>
        </is>
      </c>
      <c r="H40" t="n">
        <v>132</v>
      </c>
      <c r="I40" t="inlineStr">
        <is>
          <t>10Y1001A1001A73I</t>
        </is>
      </c>
      <c r="J40" t="n">
        <v>26.51505473548083</v>
      </c>
    </row>
    <row r="41">
      <c r="A41" t="inlineStr">
        <is>
          <t>MIDDLESBOROUGH   STW</t>
        </is>
      </c>
      <c r="B41" t="inlineStr">
        <is>
          <t>UKENNE_NU_TP000012</t>
        </is>
      </c>
      <c r="C41" t="n">
        <v>0.8120000000000001</v>
      </c>
      <c r="D41" t="inlineStr">
        <is>
          <t>line</t>
        </is>
      </c>
      <c r="E41" t="n">
        <v>275</v>
      </c>
      <c r="F41" t="n">
        <v>1.011</v>
      </c>
      <c r="G41" t="inlineStr">
        <is>
          <t>Tod Point Substation</t>
        </is>
      </c>
      <c r="H41" t="n">
        <v>275</v>
      </c>
      <c r="I41" t="inlineStr">
        <is>
          <t>10YGB----------A</t>
        </is>
      </c>
      <c r="J41" t="n">
        <v>17.4455556</v>
      </c>
    </row>
    <row r="42">
      <c r="A42" t="inlineStr">
        <is>
          <t>LEEDS (KNOSTROP) STW</t>
        </is>
      </c>
      <c r="B42" t="inlineStr">
        <is>
          <t>UKENNE_YW_TP000098</t>
        </is>
      </c>
      <c r="C42" t="n">
        <v>0.191</v>
      </c>
      <c r="D42" t="inlineStr">
        <is>
          <t>cable</t>
        </is>
      </c>
      <c r="E42" t="n">
        <v>132</v>
      </c>
      <c r="F42" t="n">
        <v>0.212</v>
      </c>
      <c r="G42" t="inlineStr">
        <is>
          <t>Skelton Grange</t>
        </is>
      </c>
      <c r="H42" t="n">
        <v>132</v>
      </c>
      <c r="I42" t="inlineStr">
        <is>
          <t>10YGB----------A</t>
        </is>
      </c>
      <c r="J42" t="n">
        <v>17.4455556</v>
      </c>
    </row>
    <row r="43">
      <c r="A43" t="inlineStr">
        <is>
          <t>TP (36) of Helsingin kt.</t>
        </is>
      </c>
      <c r="B43" t="inlineStr">
        <is>
          <t>FIJVP_O000000000036</t>
        </is>
      </c>
      <c r="C43" t="n">
        <v>0.2</v>
      </c>
      <c r="D43" t="inlineStr">
        <is>
          <t>line</t>
        </is>
      </c>
      <c r="E43" t="n">
        <v>110</v>
      </c>
      <c r="F43" t="n">
        <v>0.173</v>
      </c>
      <c r="G43" t="inlineStr">
        <is>
          <t>363801887</t>
        </is>
      </c>
      <c r="H43" t="n">
        <v>110</v>
      </c>
      <c r="I43" t="inlineStr">
        <is>
          <t>10YFI-1--------U</t>
        </is>
      </c>
      <c r="J43" t="n">
        <v>11.14791114801528</v>
      </c>
    </row>
    <row r="44">
      <c r="A44" t="inlineStr">
        <is>
          <t>Tarnów</t>
        </is>
      </c>
      <c r="B44" t="inlineStr">
        <is>
          <t>PLMP0020</t>
        </is>
      </c>
      <c r="C44" t="n">
        <v>0.207</v>
      </c>
      <c r="D44" t="inlineStr">
        <is>
          <t>line</t>
        </is>
      </c>
      <c r="E44" t="n">
        <v>220</v>
      </c>
      <c r="F44" t="n">
        <v>1.873</v>
      </c>
      <c r="G44" t="inlineStr">
        <is>
          <t>Stacja elektroenergetyczna 110/15kV „GPZ Ponar”</t>
        </is>
      </c>
      <c r="H44" t="n">
        <v>110</v>
      </c>
      <c r="I44" t="inlineStr">
        <is>
          <t>10YPL-AREA-----S</t>
        </is>
      </c>
      <c r="J44" t="n">
        <v>33.22811444946778</v>
      </c>
    </row>
    <row r="45">
      <c r="A45" t="inlineStr">
        <is>
          <t>Stahnsdorf</t>
        </is>
      </c>
      <c r="B45" t="inlineStr">
        <is>
          <t>DETP_BB239</t>
        </is>
      </c>
      <c r="C45" t="n">
        <v>1.833</v>
      </c>
      <c r="D45" t="inlineStr">
        <is>
          <t>line</t>
        </is>
      </c>
      <c r="E45" t="n">
        <v>110</v>
      </c>
      <c r="F45" t="n">
        <v>2.804</v>
      </c>
      <c r="G45" t="inlineStr">
        <is>
          <t>Teltow</t>
        </is>
      </c>
      <c r="H45" t="n">
        <v>110</v>
      </c>
      <c r="I45" t="inlineStr">
        <is>
          <t>10Y1001A1001A83F</t>
        </is>
      </c>
      <c r="J45" t="n">
        <v>25.44809445582878</v>
      </c>
    </row>
    <row r="46">
      <c r="A46" t="inlineStr">
        <is>
          <t>UWWTP BATH</t>
        </is>
      </c>
      <c r="B46" t="inlineStr">
        <is>
          <t>NL25021</t>
        </is>
      </c>
      <c r="C46" t="n">
        <v>0.621</v>
      </c>
      <c r="D46" t="inlineStr">
        <is>
          <t>line</t>
        </is>
      </c>
      <c r="E46" t="n">
        <v>380</v>
      </c>
      <c r="F46" t="n">
        <v>3.042</v>
      </c>
      <c r="G46" t="inlineStr">
        <is>
          <t>Zandvliet</t>
        </is>
      </c>
      <c r="H46" t="n">
        <v>380</v>
      </c>
      <c r="I46" t="inlineStr">
        <is>
          <t>10YNL----------L</t>
        </is>
      </c>
      <c r="J46" t="n">
        <v>24.70800927541208</v>
      </c>
    </row>
    <row r="47">
      <c r="A47" t="inlineStr">
        <is>
          <t>UWWTP KRALINGSEVEER</t>
        </is>
      </c>
      <c r="B47" t="inlineStr">
        <is>
          <t>NL16010</t>
        </is>
      </c>
      <c r="C47" t="n">
        <v>2.492</v>
      </c>
      <c r="D47" t="inlineStr">
        <is>
          <t>cable</t>
        </is>
      </c>
      <c r="E47" t="n">
        <v>150</v>
      </c>
      <c r="F47" t="n">
        <v>0.918</v>
      </c>
      <c r="G47" t="inlineStr">
        <is>
          <t>Midden Laagspanningsstation</t>
        </is>
      </c>
      <c r="H47" t="n">
        <v>230</v>
      </c>
      <c r="I47" t="inlineStr">
        <is>
          <t>10YNL----------L</t>
        </is>
      </c>
      <c r="J47" t="n">
        <v>24.70800927541208</v>
      </c>
    </row>
    <row r="48">
      <c r="A48" t="inlineStr">
        <is>
          <t>International Paper-Kwidzyn Sp z o.o.</t>
        </is>
      </c>
      <c r="B48" t="inlineStr">
        <is>
          <t>PLPM0110</t>
        </is>
      </c>
      <c r="C48" t="n">
        <v>0.753</v>
      </c>
      <c r="D48" t="inlineStr">
        <is>
          <t>line</t>
        </is>
      </c>
      <c r="E48" t="n">
        <v>110</v>
      </c>
      <c r="F48" t="n">
        <v>0.855</v>
      </c>
      <c r="G48" t="inlineStr">
        <is>
          <t>Stacja elektroenergetyczna 110/15kV "Kwidzyn Celuloza"</t>
        </is>
      </c>
      <c r="H48" t="n">
        <v>110</v>
      </c>
      <c r="I48" t="inlineStr">
        <is>
          <t>10YPL-AREA-----S</t>
        </is>
      </c>
      <c r="J48" t="n">
        <v>33.22811444946778</v>
      </c>
    </row>
    <row r="49">
      <c r="A49" t="inlineStr">
        <is>
          <t>Goś Łam</t>
        </is>
      </c>
      <c r="B49" t="inlineStr">
        <is>
          <t>PLLO0010</t>
        </is>
      </c>
      <c r="C49" t="n">
        <v>0.259</v>
      </c>
      <c r="D49" t="inlineStr">
        <is>
          <t>line</t>
        </is>
      </c>
      <c r="E49" t="n">
        <v>110</v>
      </c>
      <c r="F49" t="n">
        <v>0.268</v>
      </c>
      <c r="G49" t="inlineStr">
        <is>
          <t>Stacja elektroenergetyczna Lublinek 110 kV</t>
        </is>
      </c>
      <c r="H49" t="n">
        <v>110</v>
      </c>
      <c r="I49" t="inlineStr">
        <is>
          <t>10YPL-AREA-----S</t>
        </is>
      </c>
      <c r="J49" t="n">
        <v>33.22811444946778</v>
      </c>
    </row>
    <row r="50">
      <c r="A50" t="inlineStr">
        <is>
          <t>Toruń Centralna Oczyszczalnia Ścieków</t>
        </is>
      </c>
      <c r="B50" t="inlineStr">
        <is>
          <t>PLKP0011</t>
        </is>
      </c>
      <c r="C50" t="n">
        <v>0.201</v>
      </c>
      <c r="D50" t="inlineStr">
        <is>
          <t>line</t>
        </is>
      </c>
      <c r="E50" t="n">
        <v>110</v>
      </c>
      <c r="F50" t="n">
        <v>0.917</v>
      </c>
      <c r="G50" t="inlineStr">
        <is>
          <t>Stacja elektroenergetyczna 110/15kV "Toruń Zachód"</t>
        </is>
      </c>
      <c r="H50" t="n">
        <v>110</v>
      </c>
      <c r="I50" t="inlineStr">
        <is>
          <t>10YPL-AREA-----S</t>
        </is>
      </c>
      <c r="J50" t="n">
        <v>33.22811444946778</v>
      </c>
    </row>
    <row r="51">
      <c r="A51" t="inlineStr">
        <is>
          <t>Ruhleben</t>
        </is>
      </c>
      <c r="B51" t="inlineStr">
        <is>
          <t>DETP_BE01</t>
        </is>
      </c>
      <c r="C51" t="n">
        <v>0.431</v>
      </c>
      <c r="D51" t="inlineStr">
        <is>
          <t>line</t>
        </is>
      </c>
      <c r="E51" t="n">
        <v>380</v>
      </c>
      <c r="F51" t="n">
        <v>0.203</v>
      </c>
      <c r="G51" t="inlineStr">
        <is>
          <t>Umspannwerk Klärwerk Ruhleben</t>
        </is>
      </c>
      <c r="H51" t="n">
        <v>110</v>
      </c>
      <c r="I51" t="inlineStr">
        <is>
          <t>10Y1001A1001A83F</t>
        </is>
      </c>
      <c r="J51" t="n">
        <v>25.44809445582878</v>
      </c>
    </row>
    <row r="52">
      <c r="A52" t="inlineStr">
        <is>
          <t>SKA AZV Heidelberg</t>
        </is>
      </c>
      <c r="B52" t="inlineStr">
        <is>
          <t>DETP_BW2215100000002</t>
        </is>
      </c>
      <c r="C52" t="n">
        <v>2.427</v>
      </c>
      <c r="D52" t="inlineStr">
        <is>
          <t>line</t>
        </is>
      </c>
      <c r="E52" t="n">
        <v>110</v>
      </c>
      <c r="F52" t="n">
        <v>2.431</v>
      </c>
      <c r="G52" t="inlineStr">
        <is>
          <t>Netze BW Umspannwerk Dossenheim</t>
        </is>
      </c>
      <c r="H52" t="n">
        <v>110</v>
      </c>
      <c r="I52" t="inlineStr">
        <is>
          <t>10Y1001A1001A83F</t>
        </is>
      </c>
      <c r="J52" t="n">
        <v>25.44809445582878</v>
      </c>
    </row>
    <row r="53">
      <c r="A53" t="inlineStr">
        <is>
          <t>UWWTP Sofia</t>
        </is>
      </c>
      <c r="B53" t="inlineStr">
        <is>
          <t>BGWT68134_00_01</t>
        </is>
      </c>
      <c r="C53" t="n">
        <v>0.634</v>
      </c>
      <c r="D53" t="inlineStr">
        <is>
          <t>line</t>
        </is>
      </c>
      <c r="E53" t="n">
        <v>110</v>
      </c>
      <c r="F53" t="n">
        <v>4.899</v>
      </c>
      <c r="G53" t="inlineStr">
        <is>
          <t>Подстанция Хаджи Димитър</t>
        </is>
      </c>
      <c r="H53" t="n">
        <v>110</v>
      </c>
      <c r="I53" t="inlineStr">
        <is>
          <t>10YCA-BULGARIA-R</t>
        </is>
      </c>
      <c r="J53" t="n">
        <v>16.45756073420074</v>
      </c>
    </row>
    <row r="54">
      <c r="A54" t="inlineStr">
        <is>
          <t>Gdańsk-Wschód</t>
        </is>
      </c>
      <c r="B54" t="inlineStr">
        <is>
          <t>PLPM0010</t>
        </is>
      </c>
      <c r="C54" t="n">
        <v>0.76</v>
      </c>
      <c r="D54" t="inlineStr">
        <is>
          <t>line</t>
        </is>
      </c>
      <c r="E54" t="n">
        <v>110</v>
      </c>
      <c r="F54" t="n">
        <v>0.726</v>
      </c>
      <c r="G54" t="inlineStr">
        <is>
          <t>Stacja elektroenergetyczna 110/15kV Pleniewo</t>
        </is>
      </c>
      <c r="H54" t="n">
        <v>110</v>
      </c>
      <c r="I54" t="inlineStr">
        <is>
          <t>10YPL-AREA-----S</t>
        </is>
      </c>
      <c r="J54" t="n">
        <v>33.22811444946778</v>
      </c>
    </row>
    <row r="55">
      <c r="A55" t="inlineStr">
        <is>
          <t>Frankfurt am Main / Sindlingen</t>
        </is>
      </c>
      <c r="B55" t="inlineStr">
        <is>
          <t>DETP_HE064120006011</t>
        </is>
      </c>
      <c r="C55" t="n">
        <v>0.396</v>
      </c>
      <c r="D55" t="inlineStr">
        <is>
          <t>line</t>
        </is>
      </c>
      <c r="E55" t="n">
        <v>110</v>
      </c>
      <c r="F55" t="n">
        <v>1.432</v>
      </c>
      <c r="G55" t="inlineStr">
        <is>
          <t>Schwanheim (vorh. Höchst Süd Neu)</t>
        </is>
      </c>
      <c r="H55" t="n">
        <v>380</v>
      </c>
      <c r="I55" t="inlineStr">
        <is>
          <t>10Y1001A1001A83F</t>
        </is>
      </c>
      <c r="J55" t="n">
        <v>25.44809445582878</v>
      </c>
    </row>
    <row r="56">
      <c r="A56" t="inlineStr">
        <is>
          <t>HUELVA</t>
        </is>
      </c>
      <c r="B56" t="inlineStr">
        <is>
          <t>ES1210410001010E</t>
        </is>
      </c>
      <c r="C56" t="n">
        <v>0.651</v>
      </c>
      <c r="D56" t="inlineStr">
        <is>
          <t>line</t>
        </is>
      </c>
      <c r="E56" t="n">
        <v>220</v>
      </c>
      <c r="F56" t="n">
        <v>3.493</v>
      </c>
      <c r="G56" t="inlineStr">
        <is>
          <t>Subestación Cristóbal Colón</t>
        </is>
      </c>
      <c r="H56" t="n">
        <v>220</v>
      </c>
      <c r="I56" t="inlineStr">
        <is>
          <t>10YES-REE------0</t>
        </is>
      </c>
      <c r="J56" t="n">
        <v>16.61601044273461</v>
      </c>
    </row>
    <row r="57">
      <c r="A57" t="inlineStr">
        <is>
          <t>Venezia_Fusina_Via_Dei_Cantieri</t>
        </is>
      </c>
      <c r="B57" t="inlineStr">
        <is>
          <t>IT05000000000213</t>
        </is>
      </c>
      <c r="C57" t="n">
        <v>0.288</v>
      </c>
      <c r="D57" t="inlineStr">
        <is>
          <t>line</t>
        </is>
      </c>
      <c r="E57" t="n">
        <v>380</v>
      </c>
      <c r="F57" t="n">
        <v>0.238</v>
      </c>
      <c r="G57" t="inlineStr">
        <is>
          <t>Fusina Termica sezione 1 132</t>
        </is>
      </c>
      <c r="H57" t="n">
        <v>132</v>
      </c>
      <c r="I57" t="inlineStr">
        <is>
          <t>10Y1001A1001A73I</t>
        </is>
      </c>
      <c r="J57" t="n">
        <v>26.51505473548083</v>
      </c>
    </row>
    <row r="58">
      <c r="A58" t="inlineStr">
        <is>
          <t>UWWTP AMSTERDAN-WESTPOORT</t>
        </is>
      </c>
      <c r="B58" t="inlineStr">
        <is>
          <t>NL31005</t>
        </is>
      </c>
      <c r="C58" t="n">
        <v>2.779</v>
      </c>
      <c r="D58" t="inlineStr">
        <is>
          <t>cable</t>
        </is>
      </c>
      <c r="E58" t="n">
        <v>150</v>
      </c>
      <c r="F58" t="n">
        <v>2.684</v>
      </c>
      <c r="G58" t="inlineStr">
        <is>
          <t>1234739027</t>
        </is>
      </c>
      <c r="H58" t="n">
        <v>230</v>
      </c>
      <c r="I58" t="inlineStr">
        <is>
          <t>10YNL----------L</t>
        </is>
      </c>
      <c r="J58" t="n">
        <v>24.70800927541208</v>
      </c>
    </row>
    <row r="59">
      <c r="A59" t="inlineStr">
        <is>
          <t>UWWTP HARNASCHPOLDER</t>
        </is>
      </c>
      <c r="B59" t="inlineStr">
        <is>
          <t>NL15008</t>
        </is>
      </c>
      <c r="C59" t="n">
        <v>0.511</v>
      </c>
      <c r="D59" t="inlineStr">
        <is>
          <t>cable</t>
        </is>
      </c>
      <c r="E59" t="n">
        <v>150</v>
      </c>
      <c r="F59" t="n">
        <v>0.673</v>
      </c>
      <c r="G59" t="inlineStr">
        <is>
          <t>380 kV Wateringen</t>
        </is>
      </c>
      <c r="H59" t="n">
        <v>380</v>
      </c>
      <c r="I59" t="inlineStr">
        <is>
          <t>10YNL----------L</t>
        </is>
      </c>
      <c r="J59" t="n">
        <v>24.70800927541208</v>
      </c>
    </row>
    <row r="60">
      <c r="A60" t="inlineStr">
        <is>
          <t>LONDON (Riverside STW)</t>
        </is>
      </c>
      <c r="B60" t="inlineStr">
        <is>
          <t>UKENTH_TWU_TP000125</t>
        </is>
      </c>
      <c r="C60" t="n">
        <v>0.017</v>
      </c>
      <c r="D60" t="inlineStr">
        <is>
          <t>line</t>
        </is>
      </c>
      <c r="E60" t="n">
        <v>400</v>
      </c>
      <c r="F60" t="n">
        <v>4.617</v>
      </c>
      <c r="G60" t="inlineStr">
        <is>
          <t>Barking Substation</t>
        </is>
      </c>
      <c r="H60" t="n">
        <v>400</v>
      </c>
      <c r="I60" t="inlineStr">
        <is>
          <t>10YGB----------A</t>
        </is>
      </c>
      <c r="J60" t="n">
        <v>17.4455556</v>
      </c>
    </row>
    <row r="61">
      <c r="A61" t="inlineStr">
        <is>
          <t>HULL STW</t>
        </is>
      </c>
      <c r="B61" t="inlineStr">
        <is>
          <t>UKENNE_YW_TP000095</t>
        </is>
      </c>
      <c r="C61" t="n">
        <v>0.122</v>
      </c>
      <c r="D61" t="inlineStr">
        <is>
          <t>cable</t>
        </is>
      </c>
      <c r="E61" t="n">
        <v>132</v>
      </c>
      <c r="F61" t="n">
        <v>0.196</v>
      </c>
      <c r="G61" t="inlineStr">
        <is>
          <t>Saltend North Substation</t>
        </is>
      </c>
      <c r="H61" t="n">
        <v>132</v>
      </c>
      <c r="I61" t="inlineStr">
        <is>
          <t>10YGB----------A</t>
        </is>
      </c>
      <c r="J61" t="n">
        <v>17.4455556</v>
      </c>
    </row>
    <row r="62">
      <c r="A62" t="inlineStr">
        <is>
          <t>Aachen-Soers</t>
        </is>
      </c>
      <c r="B62" t="inlineStr">
        <is>
          <t>DETP_NW1</t>
        </is>
      </c>
      <c r="C62" t="n">
        <v>0.582</v>
      </c>
      <c r="D62" t="inlineStr">
        <is>
          <t>line</t>
        </is>
      </c>
      <c r="E62" t="n">
        <v>110</v>
      </c>
      <c r="F62" t="n">
        <v>1.221</v>
      </c>
      <c r="G62" t="inlineStr">
        <is>
          <t>24507338</t>
        </is>
      </c>
      <c r="H62" t="n">
        <v>110</v>
      </c>
      <c r="I62" t="inlineStr">
        <is>
          <t>10Y1001A1001A83F</t>
        </is>
      </c>
      <c r="J62" t="n">
        <v>25.44809445582878</v>
      </c>
    </row>
    <row r="63">
      <c r="A63" t="inlineStr">
        <is>
          <t>Budapest (Eszak Pest) - Szennyviztisztito Telep</t>
        </is>
      </c>
      <c r="B63" t="inlineStr">
        <is>
          <t>HU-WWTP-AIA440</t>
        </is>
      </c>
      <c r="C63" t="n">
        <v>0.613</v>
      </c>
      <c r="D63" t="inlineStr">
        <is>
          <t>line</t>
        </is>
      </c>
      <c r="E63" t="n">
        <v>132</v>
      </c>
      <c r="F63" t="n">
        <v>1.029</v>
      </c>
      <c r="G63" t="inlineStr">
        <is>
          <t>40358</t>
        </is>
      </c>
      <c r="H63" t="n">
        <v>400</v>
      </c>
      <c r="I63" t="inlineStr">
        <is>
          <t>10YHU-MAVIR----U</t>
        </is>
      </c>
      <c r="J63" t="n">
        <v>27.79836307586837</v>
      </c>
    </row>
    <row r="64">
      <c r="A64" t="inlineStr">
        <is>
          <t>Bologna_Corticella</t>
        </is>
      </c>
      <c r="B64" t="inlineStr">
        <is>
          <t>IT08000000000007</t>
        </is>
      </c>
      <c r="C64" t="n">
        <v>2.238</v>
      </c>
      <c r="D64" t="inlineStr">
        <is>
          <t>cable</t>
        </is>
      </c>
      <c r="E64" t="n">
        <v>132</v>
      </c>
      <c r="F64" t="n">
        <v>3.12</v>
      </c>
      <c r="G64" t="inlineStr">
        <is>
          <t>Castelmaggiore</t>
        </is>
      </c>
      <c r="H64" t="n">
        <v>132</v>
      </c>
      <c r="I64" t="inlineStr">
        <is>
          <t>10Y1001A1001A73I</t>
        </is>
      </c>
      <c r="J64" t="n">
        <v>26.51505473548083</v>
      </c>
    </row>
    <row r="65">
      <c r="A65" t="inlineStr">
        <is>
          <t>Goś Dębogórze</t>
        </is>
      </c>
      <c r="B65" t="inlineStr">
        <is>
          <t>PLPM0020</t>
        </is>
      </c>
      <c r="C65" t="n">
        <v>0.613</v>
      </c>
      <c r="D65" t="inlineStr">
        <is>
          <t>line</t>
        </is>
      </c>
      <c r="E65" t="n">
        <v>110</v>
      </c>
      <c r="F65" t="n">
        <v>1.178</v>
      </c>
      <c r="G65" t="inlineStr">
        <is>
          <t>T-2514</t>
        </is>
      </c>
      <c r="H65" t="n">
        <v>400</v>
      </c>
      <c r="I65" t="inlineStr">
        <is>
          <t>10YPL-AREA-----S</t>
        </is>
      </c>
      <c r="J65" t="n">
        <v>33.22811444946778</v>
      </c>
    </row>
    <row r="66">
      <c r="A66" t="inlineStr">
        <is>
          <t>Schkopau</t>
        </is>
      </c>
      <c r="B66" t="inlineStr">
        <is>
          <t>DETP_ST152611000039</t>
        </is>
      </c>
      <c r="C66" t="n">
        <v>0.027</v>
      </c>
      <c r="D66" t="inlineStr">
        <is>
          <t>line</t>
        </is>
      </c>
      <c r="E66" t="n">
        <v>110</v>
      </c>
      <c r="F66" t="n">
        <v>3.186</v>
      </c>
      <c r="G66" t="inlineStr">
        <is>
          <t>Umspannwerk Halle Süd</t>
        </is>
      </c>
      <c r="H66" t="n">
        <v>110</v>
      </c>
      <c r="I66" t="inlineStr">
        <is>
          <t>10Y1001A1001A83F</t>
        </is>
      </c>
      <c r="J66" t="n">
        <v>25.44809445582878</v>
      </c>
    </row>
    <row r="67">
      <c r="A67" t="inlineStr">
        <is>
          <t>Zagreb</t>
        </is>
      </c>
      <c r="B67" t="inlineStr">
        <is>
          <t>HRUWWTP_0004008_001</t>
        </is>
      </c>
      <c r="C67" t="n">
        <v>0.021</v>
      </c>
      <c r="D67" t="inlineStr">
        <is>
          <t>line</t>
        </is>
      </c>
      <c r="E67" t="n">
        <v>110</v>
      </c>
      <c r="F67" t="n">
        <v>5.034</v>
      </c>
      <c r="G67" t="inlineStr">
        <is>
          <t>TS TE TO</t>
        </is>
      </c>
      <c r="H67" t="n">
        <v>110</v>
      </c>
      <c r="I67" t="inlineStr">
        <is>
          <t>10YHR-HEP------M</t>
        </is>
      </c>
      <c r="J67" t="n">
        <v>21.83443695238095</v>
      </c>
    </row>
    <row r="68">
      <c r="A68" t="inlineStr">
        <is>
          <t>LONDON (Long Reach STW)</t>
        </is>
      </c>
      <c r="B68" t="inlineStr">
        <is>
          <t>UKENTH_TWU_TP000102</t>
        </is>
      </c>
      <c r="C68" t="n">
        <v>0.415</v>
      </c>
      <c r="D68" t="inlineStr">
        <is>
          <t>line</t>
        </is>
      </c>
      <c r="E68" t="n">
        <v>400</v>
      </c>
      <c r="F68" t="n">
        <v>0.384</v>
      </c>
      <c r="G68" t="inlineStr">
        <is>
          <t>Littlebrook Substation</t>
        </is>
      </c>
      <c r="H68" t="n">
        <v>400</v>
      </c>
    </row>
    <row r="69">
      <c r="A69" t="inlineStr">
        <is>
          <t>Kutno</t>
        </is>
      </c>
      <c r="B69" t="inlineStr">
        <is>
          <t>PLLO0030</t>
        </is>
      </c>
      <c r="C69" t="n">
        <v>1.054</v>
      </c>
      <c r="D69" t="inlineStr">
        <is>
          <t>cable</t>
        </is>
      </c>
      <c r="E69" t="n">
        <v>110</v>
      </c>
      <c r="F69" t="n">
        <v>1.474</v>
      </c>
      <c r="G69" t="inlineStr">
        <is>
          <t>Stacja elektroenergetyczna 110/15kV Sklęczki</t>
        </is>
      </c>
      <c r="H69" t="n">
        <v>110</v>
      </c>
      <c r="I69" t="inlineStr">
        <is>
          <t>10YPL-AREA-----S</t>
        </is>
      </c>
      <c r="J69" t="n">
        <v>33.22811444946778</v>
      </c>
    </row>
    <row r="70">
      <c r="A70" t="inlineStr">
        <is>
          <t>SAUSHEIM</t>
        </is>
      </c>
      <c r="B70" t="inlineStr">
        <is>
          <t>FR026830000459</t>
        </is>
      </c>
      <c r="C70" t="n">
        <v>0.783</v>
      </c>
      <c r="D70" t="inlineStr">
        <is>
          <t>minor_line</t>
        </is>
      </c>
      <c r="E70" t="n">
        <v>400</v>
      </c>
      <c r="F70" t="n">
        <v>1.726</v>
      </c>
      <c r="G70" t="inlineStr">
        <is>
          <t>Poste électrique de Île-Napoléon</t>
        </is>
      </c>
      <c r="H70" t="n">
        <v>225</v>
      </c>
      <c r="I70" t="inlineStr">
        <is>
          <t>10YFR-RTE------C</t>
        </is>
      </c>
      <c r="J70" t="n">
        <v>15.19043726169844</v>
      </c>
    </row>
    <row r="71">
      <c r="A71" t="inlineStr">
        <is>
          <t>ROWP SC COMPANIA APA SA Brasov</t>
        </is>
      </c>
      <c r="B71" t="inlineStr">
        <is>
          <t>RO7BV_511</t>
        </is>
      </c>
      <c r="C71" t="n">
        <v>0.585</v>
      </c>
      <c r="D71" t="inlineStr">
        <is>
          <t>line</t>
        </is>
      </c>
      <c r="E71" t="n">
        <v>110</v>
      </c>
      <c r="F71" t="n">
        <v>1.422</v>
      </c>
      <c r="G71" t="inlineStr">
        <is>
          <t>1005282731</t>
        </is>
      </c>
      <c r="H71" t="n">
        <v>110</v>
      </c>
      <c r="I71" t="inlineStr">
        <is>
          <t>10YRO-TEL------P</t>
        </is>
      </c>
      <c r="J71" t="n">
        <v>21.95911719869046</v>
      </c>
    </row>
    <row r="72">
      <c r="A72" t="inlineStr">
        <is>
          <t>ARA Siggerwiesen</t>
        </is>
      </c>
      <c r="B72" t="inlineStr">
        <is>
          <t>ATTP_5-A1699622R154</t>
        </is>
      </c>
      <c r="C72" t="n">
        <v>0.766</v>
      </c>
      <c r="D72" t="inlineStr">
        <is>
          <t>line</t>
        </is>
      </c>
      <c r="E72" t="n">
        <v>110</v>
      </c>
      <c r="F72" t="n">
        <v>3.301</v>
      </c>
      <c r="G72" t="inlineStr">
        <is>
          <t>Umspannwerk Hagenau</t>
        </is>
      </c>
      <c r="H72" t="n">
        <v>110</v>
      </c>
      <c r="I72" t="inlineStr">
        <is>
          <t>10YAT-APG------L</t>
        </is>
      </c>
      <c r="J72" t="n">
        <v>19.06553636363637</v>
      </c>
    </row>
    <row r="73">
      <c r="A73" t="inlineStr">
        <is>
          <t>RINCON DE LEON</t>
        </is>
      </c>
      <c r="B73" t="inlineStr">
        <is>
          <t>ES10030140002012E</t>
        </is>
      </c>
      <c r="C73" t="n">
        <v>0.707</v>
      </c>
      <c r="D73" t="inlineStr">
        <is>
          <t>line</t>
        </is>
      </c>
      <c r="E73" t="n">
        <v>220</v>
      </c>
      <c r="F73" t="n">
        <v>0.765</v>
      </c>
      <c r="G73" t="inlineStr">
        <is>
          <t>SET El Pameral</t>
        </is>
      </c>
      <c r="H73" t="n">
        <v>220</v>
      </c>
      <c r="I73" t="inlineStr">
        <is>
          <t>10YES-REE------0</t>
        </is>
      </c>
      <c r="J73" t="n">
        <v>16.61601044273461</v>
      </c>
    </row>
    <row r="74">
      <c r="A74" t="inlineStr">
        <is>
          <t>Hauptklärwerk Mühlhausen</t>
        </is>
      </c>
      <c r="B74" t="inlineStr">
        <is>
          <t>DETP_BW1115100000001</t>
        </is>
      </c>
      <c r="C74" t="n">
        <v>0.075</v>
      </c>
      <c r="D74" t="inlineStr">
        <is>
          <t>line</t>
        </is>
      </c>
      <c r="E74" t="n">
        <v>110</v>
      </c>
      <c r="F74" t="n">
        <v>4.214</v>
      </c>
      <c r="G74" t="inlineStr">
        <is>
          <t>Waiblingen 2</t>
        </is>
      </c>
      <c r="H74" t="n">
        <v>110</v>
      </c>
      <c r="I74" t="inlineStr">
        <is>
          <t>10Y1001A1001A83F</t>
        </is>
      </c>
      <c r="J74" t="n">
        <v>25.44809445582878</v>
      </c>
    </row>
    <row r="75">
      <c r="A75" t="inlineStr">
        <is>
          <t>2530002102 KA Herrenhausen</t>
        </is>
      </c>
      <c r="B75" t="inlineStr">
        <is>
          <t>DETP_NI201000201</t>
        </is>
      </c>
      <c r="C75" t="n">
        <v>0.506</v>
      </c>
      <c r="D75" t="inlineStr">
        <is>
          <t>cable</t>
        </is>
      </c>
      <c r="E75" t="n">
        <v>110</v>
      </c>
      <c r="F75" t="n">
        <v>4.119</v>
      </c>
      <c r="G75" t="inlineStr">
        <is>
          <t>929692937</t>
        </is>
      </c>
      <c r="H75" t="n">
        <v>110</v>
      </c>
      <c r="I75" t="inlineStr">
        <is>
          <t>10Y1001A1001A83F</t>
        </is>
      </c>
      <c r="J75" t="n">
        <v>25.44809445582878</v>
      </c>
    </row>
    <row r="76">
      <c r="A76" t="inlineStr">
        <is>
          <t>ROUEN</t>
        </is>
      </c>
      <c r="B76" t="inlineStr">
        <is>
          <t>FR037649801000</t>
        </is>
      </c>
      <c r="C76" t="n">
        <v>1.766</v>
      </c>
      <c r="D76" t="inlineStr">
        <is>
          <t>cable</t>
        </is>
      </c>
      <c r="E76" t="n">
        <v>225</v>
      </c>
      <c r="F76" t="n">
        <v>1.72</v>
      </c>
      <c r="G76" t="inlineStr">
        <is>
          <t>Poste électrique du Grand-Quevilly</t>
        </is>
      </c>
      <c r="H76" t="n">
        <v>225</v>
      </c>
      <c r="I76" t="inlineStr">
        <is>
          <t>10YFR-RTE------C</t>
        </is>
      </c>
      <c r="J76" t="n">
        <v>15.19043726169844</v>
      </c>
    </row>
    <row r="77">
      <c r="A77" t="inlineStr">
        <is>
          <t>LONDON (Becton STW)</t>
        </is>
      </c>
      <c r="B77" t="inlineStr">
        <is>
          <t>UKENTH_TWU_TP000014</t>
        </is>
      </c>
      <c r="C77" t="n">
        <v>0.03</v>
      </c>
      <c r="D77" t="inlineStr">
        <is>
          <t>line</t>
        </is>
      </c>
      <c r="E77" t="n">
        <v>400</v>
      </c>
      <c r="F77" t="n">
        <v>1.237</v>
      </c>
      <c r="G77" t="inlineStr">
        <is>
          <t>Barking Substation</t>
        </is>
      </c>
      <c r="H77" t="n">
        <v>132</v>
      </c>
      <c r="I77" t="inlineStr">
        <is>
          <t>10YGB----------A</t>
        </is>
      </c>
      <c r="J77" t="n">
        <v>17.4455556</v>
      </c>
    </row>
    <row r="78">
      <c r="A78" t="inlineStr">
        <is>
          <t>Hetlingen</t>
        </is>
      </c>
      <c r="B78" t="inlineStr">
        <is>
          <t>DETP_SH56027</t>
        </is>
      </c>
      <c r="C78" t="n">
        <v>0.53</v>
      </c>
      <c r="D78" t="inlineStr">
        <is>
          <t>line</t>
        </is>
      </c>
      <c r="E78" t="n">
        <v>380</v>
      </c>
      <c r="F78" t="n">
        <v>4.076</v>
      </c>
      <c r="G78" t="inlineStr">
        <is>
          <t>Holm</t>
        </is>
      </c>
      <c r="H78" t="n">
        <v>110</v>
      </c>
      <c r="I78" t="inlineStr">
        <is>
          <t>10Y1001A1001A83F</t>
        </is>
      </c>
      <c r="J78" t="n">
        <v>25.44809445582878</v>
      </c>
    </row>
    <row r="79">
      <c r="A79" t="inlineStr">
        <is>
          <t>SANT FELIU DE LLOBREGAT</t>
        </is>
      </c>
      <c r="B79" t="inlineStr">
        <is>
          <t>ES9082110001010E</t>
        </is>
      </c>
      <c r="C79" t="n">
        <v>0.914</v>
      </c>
      <c r="D79" t="inlineStr">
        <is>
          <t>line</t>
        </is>
      </c>
      <c r="E79" t="n">
        <v>220</v>
      </c>
      <c r="F79" t="n">
        <v>3.352</v>
      </c>
      <c r="G79" t="inlineStr">
        <is>
          <t>SET Sant Joan Despí</t>
        </is>
      </c>
      <c r="H79" t="n">
        <v>110</v>
      </c>
      <c r="I79" t="inlineStr">
        <is>
          <t>10YES-REE------0</t>
        </is>
      </c>
      <c r="J79" t="n">
        <v>16.61601044273461</v>
      </c>
    </row>
    <row r="80">
      <c r="A80" t="inlineStr">
        <is>
          <t>LA RANILLA</t>
        </is>
      </c>
      <c r="B80" t="inlineStr">
        <is>
          <t>ES1410910002013E</t>
        </is>
      </c>
      <c r="C80" t="n">
        <v>2.505</v>
      </c>
      <c r="D80" t="inlineStr">
        <is>
          <t>cable</t>
        </is>
      </c>
      <c r="E80" t="n">
        <v>220</v>
      </c>
      <c r="F80" t="n">
        <v>2.48</v>
      </c>
      <c r="G80" t="inlineStr">
        <is>
          <t>Subestación Santa Elvira</t>
        </is>
      </c>
      <c r="H80" t="n">
        <v>132</v>
      </c>
      <c r="I80" t="inlineStr">
        <is>
          <t>10YES-REE------0</t>
        </is>
      </c>
      <c r="J80" t="n">
        <v>16.61601044273461</v>
      </c>
    </row>
    <row r="81">
      <c r="A81" t="inlineStr">
        <is>
          <t>ARA AWV Schwechat</t>
        </is>
      </c>
      <c r="B81" t="inlineStr">
        <is>
          <t>ATTP_3-11</t>
        </is>
      </c>
      <c r="C81" t="n">
        <v>2.517</v>
      </c>
      <c r="D81" t="inlineStr">
        <is>
          <t>cable</t>
        </is>
      </c>
      <c r="E81" t="n">
        <v>110</v>
      </c>
      <c r="F81" t="n">
        <v>0.477</v>
      </c>
      <c r="G81" t="inlineStr">
        <is>
          <t>1170732043</t>
        </is>
      </c>
      <c r="H81" t="n">
        <v>400</v>
      </c>
      <c r="I81" t="inlineStr">
        <is>
          <t>10YAT-APG------L</t>
        </is>
      </c>
      <c r="J81" t="n">
        <v>19.06553636363637</v>
      </c>
    </row>
    <row r="82">
      <c r="A82" t="inlineStr">
        <is>
          <t>PSYTTALIA</t>
        </is>
      </c>
      <c r="B82" t="inlineStr">
        <is>
          <t>EL300001011</t>
        </is>
      </c>
      <c r="C82" t="n">
        <v>3.157</v>
      </c>
      <c r="D82" t="inlineStr">
        <is>
          <t>line</t>
        </is>
      </c>
      <c r="E82" t="n">
        <v>150</v>
      </c>
      <c r="F82" t="n">
        <v>9.699999999999999</v>
      </c>
      <c r="G82" t="inlineStr">
        <is>
          <t>Υ/Σ ΑΙΓΑΛΕΩ</t>
        </is>
      </c>
      <c r="H82" t="n">
        <v>150</v>
      </c>
      <c r="I82" t="inlineStr">
        <is>
          <t>10YGR-HTSO-----Y</t>
        </is>
      </c>
      <c r="J82" t="n">
        <v>18.83372015364917</v>
      </c>
    </row>
    <row r="83">
      <c r="A83" t="inlineStr">
        <is>
          <t>LIEGE OUPEYE</t>
        </is>
      </c>
      <c r="B83" t="inlineStr">
        <is>
          <t>BERW6207901</t>
        </is>
      </c>
      <c r="C83" t="n">
        <v>0.215</v>
      </c>
      <c r="D83" t="inlineStr">
        <is>
          <t>cable</t>
        </is>
      </c>
      <c r="E83" t="n">
        <v>320</v>
      </c>
      <c r="F83" t="n">
        <v>3.416</v>
      </c>
      <c r="G83" t="inlineStr">
        <is>
          <t>150 kV Lixhe</t>
        </is>
      </c>
      <c r="H83" t="n">
        <v>150</v>
      </c>
      <c r="I83" t="inlineStr">
        <is>
          <t>10YBE----------2</t>
        </is>
      </c>
      <c r="J83" t="n">
        <v>19.46866509081562</v>
      </c>
    </row>
    <row r="84">
      <c r="A84" t="inlineStr">
        <is>
          <t>Düren</t>
        </is>
      </c>
      <c r="B84" t="inlineStr">
        <is>
          <t>DETP_NW35</t>
        </is>
      </c>
      <c r="C84" t="n">
        <v>0.419</v>
      </c>
      <c r="D84" t="inlineStr">
        <is>
          <t>cable</t>
        </is>
      </c>
      <c r="E84" t="n">
        <v>320</v>
      </c>
      <c r="F84" t="n">
        <v>2.986</v>
      </c>
      <c r="G84" t="inlineStr">
        <is>
          <t>26593937</t>
        </is>
      </c>
      <c r="H84" t="n">
        <v>110</v>
      </c>
      <c r="I84" t="inlineStr">
        <is>
          <t>10Y1001A1001A83F</t>
        </is>
      </c>
      <c r="J84" t="n">
        <v>25.44809445582878</v>
      </c>
    </row>
    <row r="85">
      <c r="A85" t="inlineStr">
        <is>
          <t>Ringsend</t>
        </is>
      </c>
      <c r="B85" t="inlineStr">
        <is>
          <t>IETP_D0034</t>
        </is>
      </c>
      <c r="C85" t="n">
        <v>0.145</v>
      </c>
      <c r="D85" t="inlineStr">
        <is>
          <t>cable</t>
        </is>
      </c>
      <c r="E85" t="n">
        <v>220</v>
      </c>
      <c r="F85" t="n">
        <v>0.669</v>
      </c>
      <c r="G85" t="inlineStr">
        <is>
          <t>Ringsend 110kV Substation</t>
        </is>
      </c>
      <c r="H85" t="n">
        <v>110</v>
      </c>
      <c r="I85" t="inlineStr">
        <is>
          <t>10YIE-1001A00010</t>
        </is>
      </c>
    </row>
    <row r="86">
      <c r="A86" t="inlineStr">
        <is>
          <t>TILBURY STW, TILBURY, ESSEX"</t>
        </is>
      </c>
      <c r="B86" t="inlineStr">
        <is>
          <t>UKENAN_AW_TP000308</t>
        </is>
      </c>
      <c r="C86" t="n">
        <v>0.47</v>
      </c>
      <c r="D86" t="inlineStr">
        <is>
          <t>line</t>
        </is>
      </c>
      <c r="E86" t="n">
        <v>132</v>
      </c>
      <c r="F86" t="n">
        <v>0.742</v>
      </c>
      <c r="G86" t="inlineStr">
        <is>
          <t>Tilbury Substation</t>
        </is>
      </c>
      <c r="H86" t="n">
        <v>400</v>
      </c>
      <c r="I86" t="inlineStr">
        <is>
          <t>10YGB----------A</t>
        </is>
      </c>
      <c r="J86" t="n">
        <v>17.4455556</v>
      </c>
    </row>
    <row r="87">
      <c r="A87" t="inlineStr">
        <is>
          <t>Abwasserverband Obere Lutter</t>
        </is>
      </c>
      <c r="B87" t="inlineStr">
        <is>
          <t>DETP_NW316</t>
        </is>
      </c>
      <c r="C87" t="n">
        <v>0.101</v>
      </c>
      <c r="D87" t="inlineStr">
        <is>
          <t>line</t>
        </is>
      </c>
      <c r="E87" t="n">
        <v>380</v>
      </c>
      <c r="F87" t="n">
        <v>1.353</v>
      </c>
      <c r="G87" t="inlineStr">
        <is>
          <t>1080578819</t>
        </is>
      </c>
      <c r="H87" t="n">
        <v>400</v>
      </c>
      <c r="I87" t="inlineStr">
        <is>
          <t>10Y1001A1001A83F</t>
        </is>
      </c>
      <c r="J87" t="n">
        <v>25.44809445582878</v>
      </c>
    </row>
    <row r="88">
      <c r="A88" t="inlineStr">
        <is>
          <t>STRASBOURG - LA WANTZENAU</t>
        </is>
      </c>
      <c r="B88" t="inlineStr">
        <is>
          <t>FR026751900405</t>
        </is>
      </c>
      <c r="C88" t="n">
        <v>3.527</v>
      </c>
      <c r="D88" t="inlineStr">
        <is>
          <t>line</t>
        </is>
      </c>
      <c r="E88" t="n">
        <v>110</v>
      </c>
      <c r="F88" t="n">
        <v>5.113</v>
      </c>
      <c r="G88" t="inlineStr">
        <is>
          <t>KR003</t>
        </is>
      </c>
      <c r="H88" t="n">
        <v>400</v>
      </c>
      <c r="I88" t="inlineStr">
        <is>
          <t>10YFR-RTE------C</t>
        </is>
      </c>
      <c r="J88" t="n">
        <v>15.19043726169844</v>
      </c>
    </row>
    <row r="89">
      <c r="A89" t="inlineStr">
        <is>
          <t>Pomorzany</t>
        </is>
      </c>
      <c r="B89" t="inlineStr">
        <is>
          <t>PLZA0011</t>
        </is>
      </c>
      <c r="C89" t="n">
        <v>1.323</v>
      </c>
      <c r="D89" t="inlineStr">
        <is>
          <t>line</t>
        </is>
      </c>
      <c r="E89" t="n">
        <v>110</v>
      </c>
      <c r="F89" t="n">
        <v>0.606</v>
      </c>
      <c r="G89" t="inlineStr">
        <is>
          <t>56258401</t>
        </is>
      </c>
      <c r="H89" t="n">
        <v>400</v>
      </c>
      <c r="I89" t="inlineStr">
        <is>
          <t>10YPL-AREA-----S</t>
        </is>
      </c>
      <c r="J89" t="n">
        <v>33.22811444946778</v>
      </c>
    </row>
    <row r="90">
      <c r="A90" t="inlineStr">
        <is>
          <t>Dortmund-Deusen</t>
        </is>
      </c>
      <c r="B90" t="inlineStr">
        <is>
          <t>DETP_NW1204</t>
        </is>
      </c>
      <c r="C90" t="n">
        <v>0.107</v>
      </c>
      <c r="D90" t="inlineStr">
        <is>
          <t>line</t>
        </is>
      </c>
      <c r="E90" t="n">
        <v>110</v>
      </c>
      <c r="F90" t="n">
        <v>0.6</v>
      </c>
      <c r="G90" t="inlineStr">
        <is>
          <t>Hafen</t>
        </is>
      </c>
      <c r="H90" t="n">
        <v>110</v>
      </c>
      <c r="I90" t="inlineStr">
        <is>
          <t>10Y1001A1001A83F</t>
        </is>
      </c>
      <c r="J90" t="n">
        <v>25.44809445582878</v>
      </c>
    </row>
    <row r="91">
      <c r="A91" t="inlineStr">
        <is>
          <t>Impianto_Consortile_Di_Catania</t>
        </is>
      </c>
      <c r="B91" t="inlineStr">
        <is>
          <t>IT19CT00G7001DE001</t>
        </is>
      </c>
      <c r="C91" t="n">
        <v>0.207</v>
      </c>
      <c r="D91" t="inlineStr">
        <is>
          <t>line</t>
        </is>
      </c>
      <c r="E91" t="n">
        <v>150</v>
      </c>
      <c r="F91" t="n">
        <v>2.503</v>
      </c>
      <c r="G91" t="inlineStr">
        <is>
          <t>M6 3sun</t>
        </is>
      </c>
      <c r="H91" t="n">
        <v>150</v>
      </c>
      <c r="I91" t="inlineStr">
        <is>
          <t>10Y1001A1001A75E</t>
        </is>
      </c>
      <c r="J91" t="n">
        <v>26.89241223932045</v>
      </c>
    </row>
    <row r="92">
      <c r="A92" t="inlineStr">
        <is>
          <t>MAERA (EX CEREIREDE)</t>
        </is>
      </c>
      <c r="B92" t="inlineStr">
        <is>
          <t>FR060934172001</t>
        </is>
      </c>
      <c r="C92" t="n">
        <v>0.425</v>
      </c>
      <c r="D92" t="inlineStr">
        <is>
          <t>line</t>
        </is>
      </c>
      <c r="E92" t="n">
        <v>225</v>
      </c>
      <c r="F92" t="n">
        <v>1.195</v>
      </c>
      <c r="G92" t="inlineStr">
        <is>
          <t>82388345</t>
        </is>
      </c>
      <c r="H92" t="n">
        <v>400</v>
      </c>
      <c r="I92" t="inlineStr">
        <is>
          <t>10YFR-RTE------C</t>
        </is>
      </c>
      <c r="J92" t="n">
        <v>15.19043726169844</v>
      </c>
    </row>
    <row r="93">
      <c r="A93" t="inlineStr">
        <is>
          <t>UWWTP AMSTERDAM-WEST</t>
        </is>
      </c>
      <c r="B93" t="inlineStr">
        <is>
          <t>NL11014</t>
        </is>
      </c>
      <c r="C93" t="n">
        <v>3.819</v>
      </c>
      <c r="D93" t="inlineStr">
        <is>
          <t>cable</t>
        </is>
      </c>
      <c r="E93" t="n">
        <v>150</v>
      </c>
      <c r="F93" t="n">
        <v>3.564</v>
      </c>
      <c r="G93" t="inlineStr">
        <is>
          <t>1234356751</t>
        </is>
      </c>
      <c r="H93" t="n">
        <v>230</v>
      </c>
      <c r="I93" t="inlineStr">
        <is>
          <t>10YNL----------L</t>
        </is>
      </c>
      <c r="J93" t="n">
        <v>24.70800927541208</v>
      </c>
    </row>
    <row r="94">
      <c r="A94" t="inlineStr">
        <is>
          <t>LEON</t>
        </is>
      </c>
      <c r="B94" t="inlineStr">
        <is>
          <t>ES7240890002010E</t>
        </is>
      </c>
      <c r="C94" t="n">
        <v>0.2</v>
      </c>
      <c r="D94" t="inlineStr">
        <is>
          <t>line</t>
        </is>
      </c>
      <c r="E94" t="n">
        <v>132</v>
      </c>
      <c r="F94" t="n">
        <v>0.922</v>
      </c>
      <c r="G94" t="inlineStr">
        <is>
          <t>Subestacion de Vilecha</t>
        </is>
      </c>
      <c r="H94" t="n">
        <v>400</v>
      </c>
      <c r="I94" t="inlineStr">
        <is>
          <t>10YES-REE------0</t>
        </is>
      </c>
      <c r="J94" t="n">
        <v>16.61601044273461</v>
      </c>
    </row>
    <row r="95">
      <c r="A95" t="inlineStr">
        <is>
          <t>ROWP RA Aquatim Timisoara</t>
        </is>
      </c>
      <c r="B95" t="inlineStr">
        <is>
          <t>RO5TM_528</t>
        </is>
      </c>
      <c r="C95" t="n">
        <v>0.408</v>
      </c>
      <c r="D95" t="inlineStr">
        <is>
          <t>line</t>
        </is>
      </c>
      <c r="E95" t="n">
        <v>110</v>
      </c>
      <c r="F95" t="n">
        <v>2.922</v>
      </c>
      <c r="G95" t="inlineStr">
        <is>
          <t>Stația Electrică Săcălaz</t>
        </is>
      </c>
      <c r="H95" t="n">
        <v>220</v>
      </c>
      <c r="I95" t="inlineStr">
        <is>
          <t>10YRO-TEL------P</t>
        </is>
      </c>
      <c r="J95" t="n">
        <v>21.95911719869046</v>
      </c>
    </row>
    <row r="96">
      <c r="A96" t="inlineStr">
        <is>
          <t>TOULOUSE GINESTOUS</t>
        </is>
      </c>
      <c r="B96" t="inlineStr">
        <is>
          <t>FR0531555V018</t>
        </is>
      </c>
      <c r="C96" t="n">
        <v>2.722</v>
      </c>
      <c r="D96" t="inlineStr">
        <is>
          <t>minor_line</t>
        </is>
      </c>
      <c r="E96" t="n">
        <v>400</v>
      </c>
      <c r="F96" t="n">
        <v>0.365</v>
      </c>
      <c r="G96" t="inlineStr">
        <is>
          <t>76312090</t>
        </is>
      </c>
      <c r="H96" t="n">
        <v>400</v>
      </c>
      <c r="I96" t="inlineStr">
        <is>
          <t>10YFR-RTE------C</t>
        </is>
      </c>
      <c r="J96" t="n">
        <v>15.19043726169844</v>
      </c>
    </row>
    <row r="97">
      <c r="A97" t="inlineStr">
        <is>
          <t>PINEDO 1</t>
        </is>
      </c>
      <c r="B97" t="inlineStr">
        <is>
          <t>ES10462501014011E</t>
        </is>
      </c>
      <c r="C97" t="n">
        <v>0.196</v>
      </c>
      <c r="D97" t="inlineStr">
        <is>
          <t>line</t>
        </is>
      </c>
      <c r="E97" t="n">
        <v>132</v>
      </c>
      <c r="F97" t="n">
        <v>0.821</v>
      </c>
      <c r="G97" t="inlineStr">
        <is>
          <t>Subestación de La Punta</t>
        </is>
      </c>
      <c r="H97" t="n">
        <v>132</v>
      </c>
      <c r="I97" t="inlineStr">
        <is>
          <t>10YES-REE------0</t>
        </is>
      </c>
      <c r="J97" t="n">
        <v>16.61601044273461</v>
      </c>
    </row>
    <row r="98">
      <c r="A98" t="inlineStr">
        <is>
          <t>Idl_San_Colombano</t>
        </is>
      </c>
      <c r="B98" t="inlineStr">
        <is>
          <t>IT09RT0017</t>
        </is>
      </c>
      <c r="C98" t="n">
        <v>0.037</v>
      </c>
      <c r="D98" t="inlineStr">
        <is>
          <t>line</t>
        </is>
      </c>
      <c r="E98" t="n">
        <v>380</v>
      </c>
      <c r="F98" t="n">
        <v>0.184</v>
      </c>
      <c r="G98" t="inlineStr">
        <is>
          <t>San Colombano CP</t>
        </is>
      </c>
      <c r="H98" t="n">
        <v>132</v>
      </c>
      <c r="I98" t="inlineStr">
        <is>
          <t>10Y1001A1001A70O</t>
        </is>
      </c>
      <c r="J98" t="n">
        <v>26.75250859196418</v>
      </c>
    </row>
    <row r="99">
      <c r="A99" t="inlineStr">
        <is>
          <t>MONTE ORGEGIA</t>
        </is>
      </c>
      <c r="B99" t="inlineStr">
        <is>
          <t>ES10030140002011E</t>
        </is>
      </c>
      <c r="C99" t="n">
        <v>0.866</v>
      </c>
      <c r="D99" t="inlineStr">
        <is>
          <t>line</t>
        </is>
      </c>
      <c r="E99" t="n">
        <v>132</v>
      </c>
      <c r="F99" t="n">
        <v>0.798</v>
      </c>
      <c r="G99" t="inlineStr">
        <is>
          <t>SET San Juan d'Alacant</t>
        </is>
      </c>
      <c r="H99" t="n">
        <v>132</v>
      </c>
      <c r="I99" t="inlineStr">
        <is>
          <t>10YES-REE------0</t>
        </is>
      </c>
      <c r="J99" t="n">
        <v>16.61601044273461</v>
      </c>
    </row>
    <row r="100">
      <c r="A100" t="inlineStr">
        <is>
          <t>Düsseldorf-Süd</t>
        </is>
      </c>
      <c r="B100" t="inlineStr">
        <is>
          <t>DETP_NW601</t>
        </is>
      </c>
      <c r="C100" t="n">
        <v>0.616</v>
      </c>
      <c r="D100" t="inlineStr">
        <is>
          <t>line</t>
        </is>
      </c>
      <c r="E100" t="n">
        <v>110</v>
      </c>
      <c r="F100" t="n">
        <v>2.612</v>
      </c>
      <c r="G100" t="inlineStr">
        <is>
          <t>Station Neuss Memeler Straße</t>
        </is>
      </c>
      <c r="H100" t="n">
        <v>110</v>
      </c>
      <c r="I100" t="inlineStr">
        <is>
          <t>10Y1001A1001A83F</t>
        </is>
      </c>
      <c r="J100" t="n">
        <v>25.44809445582878</v>
      </c>
    </row>
    <row r="101">
      <c r="A101" t="inlineStr">
        <is>
          <t>THESSALONIKI</t>
        </is>
      </c>
      <c r="B101" t="inlineStr">
        <is>
          <t>EL122001013</t>
        </is>
      </c>
      <c r="C101" t="n">
        <v>3.975</v>
      </c>
      <c r="D101" t="inlineStr">
        <is>
          <t>line</t>
        </is>
      </c>
      <c r="E101" t="n">
        <v>150</v>
      </c>
      <c r="F101" t="n">
        <v>5.741</v>
      </c>
      <c r="G101" t="inlineStr">
        <is>
          <t>Κέντρο Υψηλής Τάσης Ευόσμου</t>
        </is>
      </c>
      <c r="H101" t="n">
        <v>150</v>
      </c>
      <c r="I101" t="inlineStr">
        <is>
          <t>10YGR-HTSO-----Y</t>
        </is>
      </c>
      <c r="J101" t="n">
        <v>18.83372015364917</v>
      </c>
    </row>
    <row r="102">
      <c r="A102" t="inlineStr">
        <is>
          <t>Mönchengladbach GWK I</t>
        </is>
      </c>
      <c r="B102" t="inlineStr">
        <is>
          <t>DETP_NW2104</t>
        </is>
      </c>
      <c r="C102" t="n">
        <v>1.18</v>
      </c>
      <c r="D102" t="inlineStr">
        <is>
          <t>line</t>
        </is>
      </c>
      <c r="E102" t="n">
        <v>110</v>
      </c>
      <c r="F102" t="n">
        <v>5.737</v>
      </c>
      <c r="G102" t="inlineStr">
        <is>
          <t>Korschenbroich</t>
        </is>
      </c>
      <c r="H102" t="n">
        <v>110</v>
      </c>
      <c r="I102" t="inlineStr">
        <is>
          <t>10Y1001A1001A83F</t>
        </is>
      </c>
      <c r="J102" t="n">
        <v>25.44809445582878</v>
      </c>
    </row>
    <row r="103">
      <c r="A103" t="inlineStr">
        <is>
          <t>FREDERICIA CENTRALRENS.</t>
        </is>
      </c>
      <c r="B103" t="inlineStr">
        <is>
          <t>DK6070012</t>
        </is>
      </c>
      <c r="C103" t="n">
        <v>3.445</v>
      </c>
      <c r="D103" t="inlineStr">
        <is>
          <t>line</t>
        </is>
      </c>
      <c r="E103" t="n">
        <v>150</v>
      </c>
      <c r="F103" t="n">
        <v>4.154</v>
      </c>
      <c r="G103" t="inlineStr">
        <is>
          <t>150 kV Ryttergården</t>
        </is>
      </c>
      <c r="H103" t="n">
        <v>150</v>
      </c>
      <c r="I103" t="inlineStr">
        <is>
          <t>10YDK-1--------W</t>
        </is>
      </c>
      <c r="J103" t="n">
        <v>20.70110107477704</v>
      </c>
    </row>
    <row r="104">
      <c r="A104" t="inlineStr">
        <is>
          <t>LONDON (Deepham STW)</t>
        </is>
      </c>
      <c r="B104" t="inlineStr">
        <is>
          <t>UKENTH_TWU_TP000054</t>
        </is>
      </c>
      <c r="C104" t="n">
        <v>0.409</v>
      </c>
      <c r="D104" t="inlineStr">
        <is>
          <t>line</t>
        </is>
      </c>
      <c r="E104" t="n">
        <v>275</v>
      </c>
      <c r="F104" t="n">
        <v>1.695</v>
      </c>
      <c r="G104" t="inlineStr">
        <is>
          <t>Tottenham Substation</t>
        </is>
      </c>
      <c r="H104" t="n">
        <v>275</v>
      </c>
      <c r="I104" t="inlineStr">
        <is>
          <t>10YGB----------A</t>
        </is>
      </c>
      <c r="J104" t="n">
        <v>17.4455556</v>
      </c>
    </row>
    <row r="105">
      <c r="A105" t="inlineStr">
        <is>
          <t>GIJON OESTE</t>
        </is>
      </c>
      <c r="B105" t="inlineStr">
        <is>
          <t>ES3330242402020E</t>
        </is>
      </c>
      <c r="C105" t="n">
        <v>0.579</v>
      </c>
      <c r="D105" t="inlineStr">
        <is>
          <t>line</t>
        </is>
      </c>
      <c r="E105" t="n">
        <v>220</v>
      </c>
      <c r="F105" t="n">
        <v>4.657</v>
      </c>
      <c r="G105" t="inlineStr">
        <is>
          <t>Subestación Eléctrica Pumarín</t>
        </is>
      </c>
      <c r="H105" t="n">
        <v>132</v>
      </c>
      <c r="I105" t="inlineStr">
        <is>
          <t>10YES-REE------0</t>
        </is>
      </c>
      <c r="J105" t="n">
        <v>16.61601044273461</v>
      </c>
    </row>
    <row r="106">
      <c r="A106" t="inlineStr">
        <is>
          <t>PARIS SEINE AVAL</t>
        </is>
      </c>
      <c r="B106" t="inlineStr">
        <is>
          <t>FR037800501000</t>
        </is>
      </c>
      <c r="C106" t="n">
        <v>0.166</v>
      </c>
      <c r="D106" t="inlineStr">
        <is>
          <t>line</t>
        </is>
      </c>
      <c r="E106" t="n">
        <v>225</v>
      </c>
      <c r="F106" t="n">
        <v>2.134</v>
      </c>
      <c r="G106" t="inlineStr">
        <is>
          <t>390655415</t>
        </is>
      </c>
      <c r="H106" t="n">
        <v>400</v>
      </c>
      <c r="I106" t="inlineStr">
        <is>
          <t>10YFR-RTE------C</t>
        </is>
      </c>
      <c r="J106" t="n">
        <v>15.19043726169844</v>
      </c>
    </row>
    <row r="107">
      <c r="A107" t="inlineStr">
        <is>
          <t>COV Steti -Papirny Mondi</t>
        </is>
      </c>
      <c r="B107" t="inlineStr">
        <is>
          <t>CZ4205-763691-26161516-4/1U</t>
        </is>
      </c>
      <c r="C107" t="n">
        <v>0.915</v>
      </c>
      <c r="D107" t="inlineStr">
        <is>
          <t>line</t>
        </is>
      </c>
      <c r="E107" t="n">
        <v>110</v>
      </c>
      <c r="F107" t="n">
        <v>10.607</v>
      </c>
      <c r="G107" t="inlineStr">
        <is>
          <t>rozvodna Roudnice</t>
        </is>
      </c>
      <c r="H107" t="n">
        <v>110</v>
      </c>
      <c r="I107" t="inlineStr">
        <is>
          <t>10YCZ-CEPS-----N</t>
        </is>
      </c>
      <c r="J107" t="n">
        <v>25.02350585315412</v>
      </c>
    </row>
    <row r="108">
      <c r="A108" t="inlineStr">
        <is>
          <t>Lublin-Hajdów</t>
        </is>
      </c>
      <c r="B108" t="inlineStr">
        <is>
          <t>PLLE0010</t>
        </is>
      </c>
      <c r="C108" t="n">
        <v>0.38</v>
      </c>
      <c r="D108" t="inlineStr">
        <is>
          <t>line</t>
        </is>
      </c>
      <c r="E108" t="n">
        <v>110</v>
      </c>
      <c r="F108" t="n">
        <v>3.923</v>
      </c>
      <c r="G108" t="inlineStr">
        <is>
          <t>227586944</t>
        </is>
      </c>
      <c r="H108" t="n">
        <v>400</v>
      </c>
      <c r="I108" t="inlineStr">
        <is>
          <t>10YPL-AREA-----S</t>
        </is>
      </c>
      <c r="J108" t="n">
        <v>33.22811444946778</v>
      </c>
    </row>
    <row r="109">
      <c r="A109" t="inlineStr">
        <is>
          <t>BAI "Daugavgrīva"</t>
        </is>
      </c>
      <c r="B109" t="inlineStr">
        <is>
          <t>LV100175</t>
        </is>
      </c>
      <c r="C109" t="n">
        <v>0.417</v>
      </c>
      <c r="D109" t="inlineStr">
        <is>
          <t>line</t>
        </is>
      </c>
      <c r="E109" t="n">
        <v>110</v>
      </c>
      <c r="F109" t="n">
        <v>0.407</v>
      </c>
      <c r="G109" t="inlineStr">
        <is>
          <t>Daugavgrīva</t>
        </is>
      </c>
      <c r="H109" t="n">
        <v>110</v>
      </c>
      <c r="I109" t="inlineStr">
        <is>
          <t>10YLV-1001A00074</t>
        </is>
      </c>
      <c r="J109" t="n">
        <v>18.44391426753426</v>
      </c>
    </row>
    <row r="110">
      <c r="A110" t="inlineStr">
        <is>
          <t>WIGAN (HOSCAR) STW</t>
        </is>
      </c>
      <c r="B110" t="inlineStr">
        <is>
          <t>UKENNW_UU_TP000133</t>
        </is>
      </c>
      <c r="C110" t="n">
        <v>0.65</v>
      </c>
      <c r="D110" t="inlineStr">
        <is>
          <t>line</t>
        </is>
      </c>
      <c r="E110" t="n">
        <v>275</v>
      </c>
      <c r="F110" t="n">
        <v>4.252</v>
      </c>
      <c r="G110" t="inlineStr">
        <is>
          <t>247578860</t>
        </is>
      </c>
      <c r="H110" t="n">
        <v>132</v>
      </c>
      <c r="I110" t="inlineStr">
        <is>
          <t>10YGB----------A</t>
        </is>
      </c>
      <c r="J110" t="n">
        <v>17.4455556</v>
      </c>
    </row>
    <row r="111">
      <c r="A111" t="inlineStr">
        <is>
          <t>VUELTA OSTRERA</t>
        </is>
      </c>
      <c r="B111" t="inlineStr">
        <is>
          <t>ES6390850005010E</t>
        </is>
      </c>
      <c r="C111" t="n">
        <v>6.534</v>
      </c>
      <c r="D111" t="inlineStr">
        <is>
          <t>line</t>
        </is>
      </c>
      <c r="E111" t="n">
        <v>132</v>
      </c>
      <c r="F111" t="n">
        <v>5.922</v>
      </c>
      <c r="G111" t="inlineStr">
        <is>
          <t>1299356838</t>
        </is>
      </c>
      <c r="H111" t="n">
        <v>380</v>
      </c>
      <c r="I111" t="inlineStr">
        <is>
          <t>10YES-REE------0</t>
        </is>
      </c>
      <c r="J111" t="n">
        <v>16.61601044273461</v>
      </c>
    </row>
    <row r="112">
      <c r="A112" t="inlineStr">
        <is>
          <t>Orta_Di_Atella_Ce_Impianto_Napoli_Nord</t>
        </is>
      </c>
      <c r="B112" t="inlineStr">
        <is>
          <t>IT15Q15000000002</t>
        </is>
      </c>
      <c r="C112" t="n">
        <v>0.646</v>
      </c>
      <c r="D112" t="inlineStr">
        <is>
          <t>line</t>
        </is>
      </c>
      <c r="E112" t="n">
        <v>150</v>
      </c>
      <c r="F112" t="n">
        <v>2.631</v>
      </c>
      <c r="G112" t="inlineStr">
        <is>
          <t>Caivano</t>
        </is>
      </c>
      <c r="H112" t="n">
        <v>220</v>
      </c>
      <c r="I112" t="inlineStr">
        <is>
          <t>10Y1001A1001A788</t>
        </is>
      </c>
      <c r="J112" t="n">
        <v>26.73585572171037</v>
      </c>
    </row>
    <row r="113">
      <c r="A113" t="inlineStr">
        <is>
          <t>LYON - PIERRE BÉNITE</t>
        </is>
      </c>
      <c r="B113" t="inlineStr">
        <is>
          <t>FR060969152001</t>
        </is>
      </c>
      <c r="C113" t="n">
        <v>1.578</v>
      </c>
      <c r="D113" t="inlineStr">
        <is>
          <t>line</t>
        </is>
      </c>
      <c r="E113" t="n">
        <v>225</v>
      </c>
      <c r="F113" t="n">
        <v>0.443</v>
      </c>
      <c r="G113" t="inlineStr">
        <is>
          <t>P 120</t>
        </is>
      </c>
      <c r="H113" t="n">
        <v>400</v>
      </c>
      <c r="I113" t="inlineStr">
        <is>
          <t>10YFR-RTE------C</t>
        </is>
      </c>
      <c r="J113" t="n">
        <v>15.19043726169844</v>
      </c>
    </row>
    <row r="114">
      <c r="A114" t="inlineStr">
        <is>
          <t>Caivano_Depuratore_Di_Acerra</t>
        </is>
      </c>
      <c r="B114" t="inlineStr">
        <is>
          <t>IT15Q15000000001</t>
        </is>
      </c>
      <c r="C114" t="n">
        <v>0.441</v>
      </c>
      <c r="D114" t="inlineStr">
        <is>
          <t>line</t>
        </is>
      </c>
      <c r="E114" t="n">
        <v>150</v>
      </c>
      <c r="F114" t="n">
        <v>1.814</v>
      </c>
      <c r="G114" t="inlineStr">
        <is>
          <t>Acerra smistamento</t>
        </is>
      </c>
      <c r="H114" t="n">
        <v>220</v>
      </c>
      <c r="I114" t="inlineStr">
        <is>
          <t>10Y1001A1001A788</t>
        </is>
      </c>
      <c r="J114" t="n">
        <v>26.73585572171037</v>
      </c>
    </row>
    <row r="115">
      <c r="A115" t="inlineStr">
        <is>
          <t>COV Brno - Modrice</t>
        </is>
      </c>
      <c r="B115" t="inlineStr">
        <is>
          <t>CZ6203-697931-46347275-4/1U</t>
        </is>
      </c>
      <c r="C115" t="n">
        <v>0.445</v>
      </c>
      <c r="D115" t="inlineStr">
        <is>
          <t>line</t>
        </is>
      </c>
      <c r="E115" t="n">
        <v>110</v>
      </c>
      <c r="F115" t="n">
        <v>1.043</v>
      </c>
      <c r="G115" t="inlineStr">
        <is>
          <t>TS 707729</t>
        </is>
      </c>
      <c r="H115" t="n">
        <v>400</v>
      </c>
      <c r="I115" t="inlineStr">
        <is>
          <t>10YCZ-CEPS-----N</t>
        </is>
      </c>
      <c r="J115" t="n">
        <v>25.02350585315412</v>
      </c>
    </row>
    <row r="116">
      <c r="A116" t="inlineStr">
        <is>
          <t>ROWP DANCU IASI</t>
        </is>
      </c>
      <c r="B116" t="inlineStr">
        <is>
          <t>RO1IS_51</t>
        </is>
      </c>
      <c r="C116" t="n">
        <v>0.135</v>
      </c>
      <c r="D116" t="inlineStr">
        <is>
          <t>line</t>
        </is>
      </c>
      <c r="E116" t="n">
        <v>110</v>
      </c>
      <c r="F116" t="n">
        <v>13.628</v>
      </c>
      <c r="G116" t="inlineStr">
        <is>
          <t>Stația electrică „Ungheni”</t>
        </is>
      </c>
      <c r="H116" t="n">
        <v>110</v>
      </c>
      <c r="I116" t="inlineStr">
        <is>
          <t>10YRO-TEL------P</t>
        </is>
      </c>
      <c r="J116" t="n">
        <v>21.95911719869046</v>
      </c>
    </row>
    <row r="117">
      <c r="A117" t="inlineStr">
        <is>
          <t>Würzburg</t>
        </is>
      </c>
      <c r="B117" t="inlineStr">
        <is>
          <t>DETP_BYAB-K0033</t>
        </is>
      </c>
      <c r="C117" t="n">
        <v>0.339</v>
      </c>
      <c r="D117" t="inlineStr">
        <is>
          <t>line</t>
        </is>
      </c>
      <c r="E117" t="n">
        <v>110</v>
      </c>
      <c r="F117" t="n">
        <v>0.602</v>
      </c>
      <c r="G117" t="inlineStr">
        <is>
          <t>Umspannwerk Dürrbachau</t>
        </is>
      </c>
      <c r="H117" t="n">
        <v>110</v>
      </c>
      <c r="I117" t="inlineStr">
        <is>
          <t>10Y1001A1001A83F</t>
        </is>
      </c>
      <c r="J117" t="n">
        <v>25.44809445582878</v>
      </c>
    </row>
    <row r="118">
      <c r="A118" t="inlineStr">
        <is>
          <t>Debrecen - Szennyviztisztito Telep</t>
        </is>
      </c>
      <c r="B118" t="inlineStr">
        <is>
          <t>HU-WWTP-AIA512</t>
        </is>
      </c>
      <c r="C118" t="n">
        <v>1.015</v>
      </c>
      <c r="D118" t="inlineStr">
        <is>
          <t>cable</t>
        </is>
      </c>
      <c r="E118" t="n">
        <v>132</v>
      </c>
      <c r="F118" t="n">
        <v>3.876</v>
      </c>
      <c r="G118" t="inlineStr">
        <is>
          <t>Debrecen Délkelet alállomás</t>
        </is>
      </c>
      <c r="H118" t="n">
        <v>132</v>
      </c>
      <c r="I118" t="inlineStr">
        <is>
          <t>10YHU-MAVIR----U</t>
        </is>
      </c>
      <c r="J118" t="n">
        <v>27.79836307586837</v>
      </c>
    </row>
    <row r="119">
      <c r="A119" t="inlineStr">
        <is>
          <t>SKA Heilbronn</t>
        </is>
      </c>
      <c r="B119" t="inlineStr">
        <is>
          <t>DETP_BW1215100000017</t>
        </is>
      </c>
      <c r="C119" t="n">
        <v>0.423</v>
      </c>
      <c r="D119" t="inlineStr">
        <is>
          <t>line</t>
        </is>
      </c>
      <c r="E119" t="n">
        <v>110</v>
      </c>
      <c r="F119" t="n">
        <v>5.475</v>
      </c>
      <c r="G119" t="inlineStr">
        <is>
          <t>150399868</t>
        </is>
      </c>
      <c r="H119" t="n">
        <v>110</v>
      </c>
      <c r="I119" t="inlineStr">
        <is>
          <t>10Y1001A1001A83F</t>
        </is>
      </c>
      <c r="J119" t="n">
        <v>25.44809445582878</v>
      </c>
    </row>
    <row r="120">
      <c r="A120" t="inlineStr">
        <is>
          <t>GUADALETE</t>
        </is>
      </c>
      <c r="B120" t="inlineStr">
        <is>
          <t>ES1110200014010E</t>
        </is>
      </c>
      <c r="C120" t="n">
        <v>2.368</v>
      </c>
      <c r="D120" t="inlineStr">
        <is>
          <t>line</t>
        </is>
      </c>
      <c r="E120" t="n">
        <v>220</v>
      </c>
      <c r="F120" t="n">
        <v>2.943</v>
      </c>
      <c r="G120" t="inlineStr">
        <is>
          <t>Subestación Cartuja</t>
        </is>
      </c>
      <c r="H120" t="n">
        <v>220</v>
      </c>
      <c r="I120" t="inlineStr">
        <is>
          <t>10YES-REE------0</t>
        </is>
      </c>
      <c r="J120" t="n">
        <v>16.61601044273461</v>
      </c>
    </row>
    <row r="121">
      <c r="A121" t="inlineStr">
        <is>
          <t>Dopiewo</t>
        </is>
      </c>
      <c r="B121" t="inlineStr">
        <is>
          <t>PLWL1330</t>
        </is>
      </c>
      <c r="C121" t="n">
        <v>0.8070000000000001</v>
      </c>
      <c r="D121" t="inlineStr">
        <is>
          <t>line</t>
        </is>
      </c>
      <c r="E121" t="n">
        <v>400</v>
      </c>
      <c r="F121" t="n">
        <v>7.586</v>
      </c>
      <c r="G121" t="inlineStr">
        <is>
          <t>Stacja elektroenergetyczna 110kV "Stęszew"</t>
        </is>
      </c>
      <c r="H121" t="n">
        <v>110</v>
      </c>
      <c r="I121" t="inlineStr">
        <is>
          <t>10YPL-AREA-----S</t>
        </is>
      </c>
      <c r="J121" t="n">
        <v>33.22811444946778</v>
      </c>
    </row>
    <row r="122">
      <c r="A122" t="inlineStr">
        <is>
          <t>Düsseldorf-Nord</t>
        </is>
      </c>
      <c r="B122" t="inlineStr">
        <is>
          <t>DETP_NW2101</t>
        </is>
      </c>
      <c r="C122" t="n">
        <v>2.574</v>
      </c>
      <c r="D122" t="inlineStr">
        <is>
          <t>line</t>
        </is>
      </c>
      <c r="E122" t="n">
        <v>220</v>
      </c>
      <c r="F122" t="n">
        <v>4.741</v>
      </c>
      <c r="G122" t="inlineStr">
        <is>
          <t>Station Osterath</t>
        </is>
      </c>
      <c r="H122" t="n">
        <v>220</v>
      </c>
      <c r="I122" t="inlineStr">
        <is>
          <t>10Y1001A1001A83F</t>
        </is>
      </c>
      <c r="J122" t="n">
        <v>25.44809445582878</v>
      </c>
    </row>
    <row r="123">
      <c r="A123" t="inlineStr">
        <is>
          <t>Castiglione</t>
        </is>
      </c>
      <c r="B123" t="inlineStr">
        <is>
          <t>IT01000000000043</t>
        </is>
      </c>
      <c r="C123" t="n">
        <v>0.426</v>
      </c>
      <c r="D123" t="inlineStr">
        <is>
          <t>line</t>
        </is>
      </c>
      <c r="E123" t="n">
        <v>132</v>
      </c>
      <c r="F123" t="n">
        <v>3.39</v>
      </c>
      <c r="G123" t="inlineStr">
        <is>
          <t>Settimo</t>
        </is>
      </c>
      <c r="H123" t="n">
        <v>132</v>
      </c>
      <c r="I123" t="inlineStr">
        <is>
          <t>10Y1001A1001A73I</t>
        </is>
      </c>
      <c r="J123" t="n">
        <v>26.51505473548083</v>
      </c>
    </row>
    <row r="124">
      <c r="A124" t="inlineStr">
        <is>
          <t>PARIS SEINE GRÉSILLONS</t>
        </is>
      </c>
      <c r="B124" t="inlineStr">
        <is>
          <t>FR037862401000</t>
        </is>
      </c>
      <c r="C124" t="n">
        <v>0.8080000000000001</v>
      </c>
      <c r="D124" t="inlineStr">
        <is>
          <t>cable</t>
        </is>
      </c>
      <c r="E124" t="n">
        <v>225</v>
      </c>
      <c r="F124" t="n">
        <v>1.519</v>
      </c>
      <c r="G124" t="inlineStr">
        <is>
          <t>Poste électrique de Nourottes</t>
        </is>
      </c>
      <c r="H124" t="n">
        <v>225</v>
      </c>
      <c r="I124" t="inlineStr">
        <is>
          <t>10YFR-RTE------C</t>
        </is>
      </c>
      <c r="J124" t="n">
        <v>15.19043726169844</v>
      </c>
    </row>
    <row r="125">
      <c r="A125" t="inlineStr">
        <is>
          <t>Münster-Hauptkläranlage</t>
        </is>
      </c>
      <c r="B125" t="inlineStr">
        <is>
          <t>DETP_NW3008</t>
        </is>
      </c>
      <c r="C125" t="n">
        <v>0.611</v>
      </c>
      <c r="D125" t="inlineStr">
        <is>
          <t>line</t>
        </is>
      </c>
      <c r="E125" t="n">
        <v>110</v>
      </c>
      <c r="F125" t="n">
        <v>3.418</v>
      </c>
      <c r="G125" t="inlineStr">
        <is>
          <t>Nord</t>
        </is>
      </c>
      <c r="H125" t="n">
        <v>110</v>
      </c>
      <c r="I125" t="inlineStr">
        <is>
          <t>10Y1001A1001A83F</t>
        </is>
      </c>
      <c r="J125" t="n">
        <v>25.44809445582878</v>
      </c>
    </row>
    <row r="126">
      <c r="A126" t="inlineStr">
        <is>
          <t>Neuss-Ost</t>
        </is>
      </c>
      <c r="B126" t="inlineStr">
        <is>
          <t>DETP_NW2138</t>
        </is>
      </c>
      <c r="C126" t="n">
        <v>0.602</v>
      </c>
      <c r="D126" t="inlineStr">
        <is>
          <t>cable</t>
        </is>
      </c>
      <c r="E126" t="n">
        <v>110</v>
      </c>
      <c r="F126" t="n">
        <v>1.071</v>
      </c>
      <c r="G126" t="inlineStr">
        <is>
          <t>Station Neuss Memeler Straße</t>
        </is>
      </c>
      <c r="H126" t="n">
        <v>110</v>
      </c>
      <c r="I126" t="inlineStr">
        <is>
          <t>10Y1001A1001A83F</t>
        </is>
      </c>
      <c r="J126" t="n">
        <v>25.44809445582878</v>
      </c>
    </row>
    <row r="127">
      <c r="A127" t="inlineStr">
        <is>
          <t>SAN ROMÁN</t>
        </is>
      </c>
      <c r="B127" t="inlineStr">
        <is>
          <t>ES6390750005010E</t>
        </is>
      </c>
      <c r="C127" t="n">
        <v>3.148</v>
      </c>
      <c r="D127" t="inlineStr">
        <is>
          <t>cable</t>
        </is>
      </c>
      <c r="E127" t="n">
        <v>1500</v>
      </c>
      <c r="F127" t="n">
        <v>4.266</v>
      </c>
      <c r="G127" t="inlineStr">
        <is>
          <t>Subestación de Cacicedo</t>
        </is>
      </c>
      <c r="H127" t="n">
        <v>220</v>
      </c>
      <c r="I127" t="inlineStr">
        <is>
          <t>10YES-REE------0</t>
        </is>
      </c>
      <c r="J127" t="n">
        <v>16.61601044273461</v>
      </c>
    </row>
    <row r="128">
      <c r="A128" t="inlineStr">
        <is>
          <t>LONDON (Crossness STW)</t>
        </is>
      </c>
      <c r="B128" t="inlineStr">
        <is>
          <t>UKENTH_TWU_TP000052</t>
        </is>
      </c>
      <c r="C128" t="n">
        <v>1.857</v>
      </c>
      <c r="D128" t="inlineStr">
        <is>
          <t>line</t>
        </is>
      </c>
      <c r="E128" t="n">
        <v>400</v>
      </c>
      <c r="F128" t="n">
        <v>2.595</v>
      </c>
      <c r="G128" t="inlineStr">
        <is>
          <t>Barking Substation</t>
        </is>
      </c>
      <c r="H128" t="n">
        <v>132</v>
      </c>
      <c r="I128" t="inlineStr">
        <is>
          <t>10YGB----------A</t>
        </is>
      </c>
      <c r="J128" t="n">
        <v>17.4455556</v>
      </c>
    </row>
    <row r="129">
      <c r="A129" t="inlineStr">
        <is>
          <t>Impianto_C_Da_Magnisi_Casale_Vecchie_Saline_Depuratore_Ias_Priolo</t>
        </is>
      </c>
      <c r="B129" t="inlineStr">
        <is>
          <t>IT19SR00G7002DE001</t>
        </is>
      </c>
      <c r="C129" t="n">
        <v>0.626</v>
      </c>
      <c r="D129" t="inlineStr">
        <is>
          <t>line</t>
        </is>
      </c>
      <c r="E129" t="n">
        <v>220</v>
      </c>
      <c r="F129" t="n">
        <v>1.237</v>
      </c>
      <c r="G129" t="inlineStr">
        <is>
          <t>Priolo centrale</t>
        </is>
      </c>
      <c r="H129" t="n">
        <v>220</v>
      </c>
      <c r="I129" t="inlineStr">
        <is>
          <t>10Y1001A1001A75E</t>
        </is>
      </c>
      <c r="J129" t="n">
        <v>26.89241223932045</v>
      </c>
    </row>
    <row r="130">
      <c r="A130" t="inlineStr">
        <is>
          <t>Wrocławska Oczyszczalnia Ścieków</t>
        </is>
      </c>
      <c r="B130" t="inlineStr">
        <is>
          <t>PLDO0011</t>
        </is>
      </c>
      <c r="C130" t="n">
        <v>2.832</v>
      </c>
      <c r="D130" t="inlineStr">
        <is>
          <t>line</t>
        </is>
      </c>
      <c r="E130" t="n">
        <v>110</v>
      </c>
      <c r="F130" t="n">
        <v>3.395</v>
      </c>
      <c r="G130" t="inlineStr">
        <is>
          <t>WRW 2490</t>
        </is>
      </c>
      <c r="H130" t="n">
        <v>400</v>
      </c>
      <c r="I130" t="inlineStr">
        <is>
          <t>10YPL-AREA-----S</t>
        </is>
      </c>
      <c r="J130" t="n">
        <v>33.22811444946778</v>
      </c>
    </row>
    <row r="131">
      <c r="A131" t="inlineStr">
        <is>
          <t>Manchester and Salford (Davyhulme)STW</t>
        </is>
      </c>
      <c r="B131" t="inlineStr">
        <is>
          <t>UKENNW_UU_TP000042</t>
        </is>
      </c>
      <c r="C131" t="n">
        <v>0.765</v>
      </c>
      <c r="D131" t="inlineStr">
        <is>
          <t>line</t>
        </is>
      </c>
      <c r="E131" t="n">
        <v>132</v>
      </c>
      <c r="F131" t="n">
        <v>2.041</v>
      </c>
      <c r="G131" t="inlineStr">
        <is>
          <t>177849045</t>
        </is>
      </c>
      <c r="H131" t="n">
        <v>132</v>
      </c>
      <c r="I131" t="inlineStr">
        <is>
          <t>10YGB----------A</t>
        </is>
      </c>
      <c r="J131" t="n">
        <v>17.4455556</v>
      </c>
    </row>
    <row r="132">
      <c r="A132" t="inlineStr">
        <is>
          <t>Idi_Aquarno</t>
        </is>
      </c>
      <c r="B132" t="inlineStr">
        <is>
          <t>IT09RT0504</t>
        </is>
      </c>
      <c r="C132" t="n">
        <v>0.033</v>
      </c>
      <c r="D132" t="inlineStr">
        <is>
          <t>line</t>
        </is>
      </c>
      <c r="E132" t="n">
        <v>132</v>
      </c>
      <c r="F132" t="n">
        <v>0.918</v>
      </c>
      <c r="G132" t="inlineStr">
        <is>
          <t>Santa Croce</t>
        </is>
      </c>
      <c r="H132" t="n">
        <v>132</v>
      </c>
      <c r="I132" t="inlineStr">
        <is>
          <t>10Y1001A1001A70O</t>
        </is>
      </c>
      <c r="J132" t="n">
        <v>26.75250859196418</v>
      </c>
    </row>
    <row r="133">
      <c r="A133" t="inlineStr">
        <is>
          <t>COPERO</t>
        </is>
      </c>
      <c r="B133" t="inlineStr">
        <is>
          <t>ES1410910002012E</t>
        </is>
      </c>
      <c r="C133" t="n">
        <v>3.722</v>
      </c>
      <c r="D133" t="inlineStr">
        <is>
          <t>line</t>
        </is>
      </c>
      <c r="E133" t="n">
        <v>220</v>
      </c>
      <c r="F133" t="n">
        <v>3.688</v>
      </c>
      <c r="G133" t="inlineStr">
        <is>
          <t>Subestación Entrenúcleos</t>
        </is>
      </c>
      <c r="H133" t="n">
        <v>220</v>
      </c>
      <c r="I133" t="inlineStr">
        <is>
          <t>10YES-REE------0</t>
        </is>
      </c>
      <c r="J133" t="n">
        <v>16.61601044273461</v>
      </c>
    </row>
    <row r="134">
      <c r="A134" t="inlineStr">
        <is>
          <t>METZ</t>
        </is>
      </c>
      <c r="B134" t="inlineStr">
        <is>
          <t>FR025745200219</t>
        </is>
      </c>
      <c r="C134" t="n">
        <v>1.533</v>
      </c>
      <c r="D134" t="inlineStr">
        <is>
          <t>cable</t>
        </is>
      </c>
      <c r="E134" t="n">
        <v>225</v>
      </c>
      <c r="F134" t="n">
        <v>0.289</v>
      </c>
      <c r="G134" t="inlineStr">
        <is>
          <t>1253749670</t>
        </is>
      </c>
      <c r="H134" t="n">
        <v>400</v>
      </c>
      <c r="I134" t="inlineStr">
        <is>
          <t>10YFR-RTE------C</t>
        </is>
      </c>
      <c r="J134" t="n">
        <v>15.19043726169844</v>
      </c>
    </row>
    <row r="135">
      <c r="A135" t="inlineStr">
        <is>
          <t>TP (101) of Helsingin kt.</t>
        </is>
      </c>
      <c r="B135" t="inlineStr">
        <is>
          <t>FIJVP_O000000000101</t>
        </is>
      </c>
      <c r="C135" t="n">
        <v>0.231</v>
      </c>
      <c r="D135" t="inlineStr">
        <is>
          <t>line</t>
        </is>
      </c>
      <c r="E135" t="n">
        <v>110</v>
      </c>
      <c r="F135" t="n">
        <v>6.788</v>
      </c>
      <c r="G135" t="inlineStr">
        <is>
          <t>Mellunkylän sähköasema</t>
        </is>
      </c>
      <c r="H135" t="n">
        <v>110</v>
      </c>
      <c r="I135" t="inlineStr">
        <is>
          <t>10YFI-1--------U</t>
        </is>
      </c>
      <c r="J135" t="n">
        <v>11.14791114801528</v>
      </c>
    </row>
    <row r="136">
      <c r="A136" t="inlineStr">
        <is>
          <t>CARTAGENA (CABEZO BEAZA)</t>
        </is>
      </c>
      <c r="B136" t="inlineStr">
        <is>
          <t>ES14300160001030E</t>
        </is>
      </c>
      <c r="C136" t="n">
        <v>0.416</v>
      </c>
      <c r="D136" t="inlineStr">
        <is>
          <t>line</t>
        </is>
      </c>
      <c r="E136" t="n">
        <v>132</v>
      </c>
      <c r="F136" t="n">
        <v>0.795</v>
      </c>
      <c r="G136" t="inlineStr">
        <is>
          <t>Subestación La Asomada</t>
        </is>
      </c>
      <c r="H136" t="n">
        <v>400</v>
      </c>
      <c r="I136" t="inlineStr">
        <is>
          <t>10YES-REE------0</t>
        </is>
      </c>
      <c r="J136" t="n">
        <v>16.61601044273461</v>
      </c>
    </row>
    <row r="137">
      <c r="A137" t="inlineStr">
        <is>
          <t>Marcianise_Ce_Depuratore_Di_Marcianise</t>
        </is>
      </c>
      <c r="B137" t="inlineStr">
        <is>
          <t>IT15Q15000000006</t>
        </is>
      </c>
      <c r="C137" t="n">
        <v>0.22</v>
      </c>
      <c r="D137" t="inlineStr">
        <is>
          <t>line</t>
        </is>
      </c>
      <c r="E137" t="n">
        <v>150</v>
      </c>
      <c r="F137" t="n">
        <v>1.916</v>
      </c>
      <c r="G137" t="inlineStr">
        <is>
          <t>Gricignano</t>
        </is>
      </c>
      <c r="H137" t="n">
        <v>150</v>
      </c>
      <c r="I137" t="inlineStr">
        <is>
          <t>10Y1001A1001A788</t>
        </is>
      </c>
      <c r="J137" t="n">
        <v>26.73585572171037</v>
      </c>
    </row>
    <row r="138">
      <c r="A138" t="inlineStr">
        <is>
          <t>Zweckverband Klärwerk Steinhäule</t>
        </is>
      </c>
      <c r="B138" t="inlineStr">
        <is>
          <t>DETP_BYDON-K0220</t>
        </is>
      </c>
      <c r="C138" t="n">
        <v>1.35</v>
      </c>
      <c r="D138" t="inlineStr">
        <is>
          <t>line</t>
        </is>
      </c>
      <c r="E138" t="n">
        <v>110</v>
      </c>
      <c r="F138" t="n">
        <v>3.277</v>
      </c>
      <c r="G138" t="inlineStr">
        <is>
          <t>Umspannwerk Neu-Ulm Ost</t>
        </is>
      </c>
      <c r="H138" t="n">
        <v>110</v>
      </c>
      <c r="I138" t="inlineStr">
        <is>
          <t>10Y1001A1001A83F</t>
        </is>
      </c>
      <c r="J138" t="n">
        <v>25.44809445582878</v>
      </c>
    </row>
    <row r="139">
      <c r="A139" t="inlineStr">
        <is>
          <t>BRADFORD ESHOLT STW</t>
        </is>
      </c>
      <c r="B139" t="inlineStr">
        <is>
          <t>UKENNE_YW_TP000082</t>
        </is>
      </c>
      <c r="C139" t="n">
        <v>0.37</v>
      </c>
      <c r="D139" t="inlineStr">
        <is>
          <t>line</t>
        </is>
      </c>
      <c r="E139" t="n">
        <v>275</v>
      </c>
      <c r="F139" t="n">
        <v>4.549</v>
      </c>
      <c r="G139" t="inlineStr">
        <is>
          <t>Menston Substation</t>
        </is>
      </c>
      <c r="H139" t="n">
        <v>132</v>
      </c>
      <c r="I139" t="inlineStr">
        <is>
          <t>10YGB----------A</t>
        </is>
      </c>
      <c r="J139" t="n">
        <v>17.4455556</v>
      </c>
    </row>
    <row r="140">
      <c r="A140" t="inlineStr">
        <is>
          <t>NANTES 1-TOUGAS</t>
        </is>
      </c>
      <c r="B140" t="inlineStr">
        <is>
          <t>FR0444109S0011</t>
        </is>
      </c>
      <c r="C140" t="n">
        <v>1.494</v>
      </c>
      <c r="D140" t="inlineStr">
        <is>
          <t>line</t>
        </is>
      </c>
      <c r="E140" t="n">
        <v>225</v>
      </c>
      <c r="F140" t="n">
        <v>1.718</v>
      </c>
      <c r="G140" t="inlineStr">
        <is>
          <t>Poste électrique de Cheviré</t>
        </is>
      </c>
      <c r="H140" t="n">
        <v>225</v>
      </c>
      <c r="I140" t="inlineStr">
        <is>
          <t>10YFR-RTE------C</t>
        </is>
      </c>
      <c r="J140" t="n">
        <v>15.19043726169844</v>
      </c>
    </row>
    <row r="141">
      <c r="A141" t="inlineStr">
        <is>
          <t>SALAMANCA</t>
        </is>
      </c>
      <c r="B141" t="inlineStr">
        <is>
          <t>ES7372740002010E</t>
        </is>
      </c>
      <c r="C141" t="n">
        <v>0.661</v>
      </c>
      <c r="D141" t="inlineStr">
        <is>
          <t>line</t>
        </is>
      </c>
      <c r="E141" t="n">
        <v>220</v>
      </c>
      <c r="F141" t="n">
        <v>2.796</v>
      </c>
      <c r="G141" t="inlineStr">
        <is>
          <t>ST Villamayor</t>
        </is>
      </c>
      <c r="H141" t="n">
        <v>220</v>
      </c>
      <c r="I141" t="inlineStr">
        <is>
          <t>10YES-REE------0</t>
        </is>
      </c>
      <c r="J141" t="n">
        <v>16.61601044273461</v>
      </c>
    </row>
    <row r="142">
      <c r="A142" t="inlineStr">
        <is>
          <t>NORTH WARRINGTON   STW</t>
        </is>
      </c>
      <c r="B142" t="inlineStr">
        <is>
          <t>UKENNW_UU_TP000124</t>
        </is>
      </c>
      <c r="C142" t="n">
        <v>0.58</v>
      </c>
      <c r="D142" t="inlineStr">
        <is>
          <t>line</t>
        </is>
      </c>
      <c r="E142" t="n">
        <v>132</v>
      </c>
      <c r="F142" t="n">
        <v>0.752</v>
      </c>
      <c r="G142" t="inlineStr">
        <is>
          <t>Sankey Bridges Substation</t>
        </is>
      </c>
      <c r="H142" t="n">
        <v>132</v>
      </c>
      <c r="I142" t="inlineStr">
        <is>
          <t>10YGB----------A</t>
        </is>
      </c>
      <c r="J142" t="n">
        <v>17.4455556</v>
      </c>
    </row>
    <row r="143">
      <c r="A143" t="inlineStr">
        <is>
          <t>Rye Meads STW</t>
        </is>
      </c>
      <c r="B143" t="inlineStr">
        <is>
          <t>UKENTH_TWU_TP000126</t>
        </is>
      </c>
      <c r="C143" t="n">
        <v>0.282</v>
      </c>
      <c r="D143" t="inlineStr">
        <is>
          <t>line</t>
        </is>
      </c>
      <c r="E143" t="n">
        <v>400</v>
      </c>
      <c r="F143" t="n">
        <v>3.415</v>
      </c>
      <c r="G143" t="inlineStr">
        <is>
          <t>Harlow West Grid Substation</t>
        </is>
      </c>
      <c r="H143" t="n">
        <v>132</v>
      </c>
      <c r="I143" t="inlineStr">
        <is>
          <t>10YGB----------A</t>
        </is>
      </c>
      <c r="J143" t="n">
        <v>17.4455556</v>
      </c>
    </row>
    <row r="144">
      <c r="A144" t="inlineStr">
        <is>
          <t>Marigliano_Na_Depuratore_Di_Nola</t>
        </is>
      </c>
      <c r="B144" t="inlineStr">
        <is>
          <t>IT15Q15000000004</t>
        </is>
      </c>
      <c r="C144" t="n">
        <v>2.67</v>
      </c>
      <c r="D144" t="inlineStr">
        <is>
          <t>line</t>
        </is>
      </c>
      <c r="E144" t="n">
        <v>220</v>
      </c>
      <c r="F144" t="n">
        <v>3.375</v>
      </c>
      <c r="G144" t="inlineStr">
        <is>
          <t>Nola</t>
        </is>
      </c>
      <c r="H144" t="n">
        <v>220</v>
      </c>
      <c r="I144" t="inlineStr">
        <is>
          <t>10Y1001A1001A788</t>
        </is>
      </c>
      <c r="J144" t="n">
        <v>26.73585572171037</v>
      </c>
    </row>
    <row r="145">
      <c r="A145" t="inlineStr">
        <is>
          <t>Erlangen</t>
        </is>
      </c>
      <c r="B145" t="inlineStr">
        <is>
          <t>DETP_BYN-K0002</t>
        </is>
      </c>
      <c r="C145" t="n">
        <v>0.173</v>
      </c>
      <c r="D145" t="inlineStr">
        <is>
          <t>line</t>
        </is>
      </c>
      <c r="E145" t="n">
        <v>110</v>
      </c>
      <c r="F145" t="n">
        <v>3.047</v>
      </c>
      <c r="G145" t="inlineStr">
        <is>
          <t>Umspannwerk Mozartstraße</t>
        </is>
      </c>
      <c r="H145" t="n">
        <v>110</v>
      </c>
      <c r="I145" t="inlineStr">
        <is>
          <t>10Y1001A1001A83F</t>
        </is>
      </c>
      <c r="J145" t="n">
        <v>25.44809445582878</v>
      </c>
    </row>
    <row r="146">
      <c r="A146" t="inlineStr">
        <is>
          <t>Idi_Cuoio_Depur</t>
        </is>
      </c>
      <c r="B146" t="inlineStr">
        <is>
          <t>IT09RT0506</t>
        </is>
      </c>
      <c r="C146" t="n">
        <v>0.007</v>
      </c>
      <c r="D146" t="inlineStr">
        <is>
          <t>line</t>
        </is>
      </c>
      <c r="E146" t="n">
        <v>132</v>
      </c>
      <c r="F146" t="n">
        <v>2.545</v>
      </c>
      <c r="G146" t="inlineStr">
        <is>
          <t>Dogaia IC</t>
        </is>
      </c>
      <c r="H146" t="n">
        <v>132</v>
      </c>
      <c r="I146" t="inlineStr">
        <is>
          <t>10Y1001A1001A70O</t>
        </is>
      </c>
      <c r="J146" t="n">
        <v>26.75250859196418</v>
      </c>
    </row>
    <row r="147">
      <c r="A147" t="inlineStr">
        <is>
          <t>PALOMARES</t>
        </is>
      </c>
      <c r="B147" t="inlineStr">
        <is>
          <t>ES1410700001010E</t>
        </is>
      </c>
      <c r="C147" t="n">
        <v>4.408</v>
      </c>
      <c r="D147" t="inlineStr">
        <is>
          <t>line</t>
        </is>
      </c>
      <c r="E147" t="n">
        <v>220</v>
      </c>
      <c r="F147" t="n">
        <v>6.428</v>
      </c>
      <c r="G147" t="inlineStr">
        <is>
          <t>Subestación de Aljarafe</t>
        </is>
      </c>
      <c r="H147" t="n">
        <v>220</v>
      </c>
      <c r="I147" t="inlineStr">
        <is>
          <t>10YES-REE------0</t>
        </is>
      </c>
      <c r="J147" t="n">
        <v>16.61601044273461</v>
      </c>
    </row>
    <row r="148">
      <c r="A148" t="inlineStr">
        <is>
          <t>MD-Gerwisch</t>
        </is>
      </c>
      <c r="B148" t="inlineStr">
        <is>
          <t>DETP_ST153581000001</t>
        </is>
      </c>
      <c r="C148" t="n">
        <v>2.407</v>
      </c>
      <c r="D148" t="inlineStr">
        <is>
          <t>line</t>
        </is>
      </c>
      <c r="E148" t="n">
        <v>110</v>
      </c>
      <c r="F148" t="n">
        <v>3.295</v>
      </c>
      <c r="G148" t="inlineStr">
        <is>
          <t>Körbelitz</t>
        </is>
      </c>
      <c r="H148" t="n">
        <v>110</v>
      </c>
      <c r="I148" t="inlineStr">
        <is>
          <t>10Y1001A1001A83F</t>
        </is>
      </c>
      <c r="J148" t="n">
        <v>25.44809445582878</v>
      </c>
    </row>
    <row r="149">
      <c r="A149" t="inlineStr">
        <is>
          <t>ROWP SC APA CANAL 2000 S.A. PITESTI</t>
        </is>
      </c>
      <c r="B149" t="inlineStr">
        <is>
          <t>RO3AG_51</t>
        </is>
      </c>
      <c r="C149" t="n">
        <v>0.33</v>
      </c>
      <c r="D149" t="inlineStr">
        <is>
          <t>line</t>
        </is>
      </c>
      <c r="E149" t="n">
        <v>110</v>
      </c>
      <c r="F149" t="n">
        <v>5.602</v>
      </c>
      <c r="G149" t="inlineStr">
        <is>
          <t>Pitești Sud</t>
        </is>
      </c>
      <c r="H149" t="n">
        <v>220</v>
      </c>
      <c r="I149" t="inlineStr">
        <is>
          <t>10YRO-TEL------P</t>
        </is>
      </c>
      <c r="J149" t="n">
        <v>21.95911719869046</v>
      </c>
    </row>
    <row r="150">
      <c r="A150" t="inlineStr">
        <is>
          <t>San_Giorgio_Di_Nogaro</t>
        </is>
      </c>
      <c r="B150" t="inlineStr">
        <is>
          <t>IT06000000000098</t>
        </is>
      </c>
      <c r="C150" t="n">
        <v>2.445</v>
      </c>
      <c r="D150" t="inlineStr">
        <is>
          <t>line</t>
        </is>
      </c>
      <c r="E150" t="n">
        <v>380</v>
      </c>
      <c r="F150" t="n">
        <v>2.357</v>
      </c>
      <c r="G150" t="inlineStr">
        <is>
          <t>Planais</t>
        </is>
      </c>
      <c r="H150" t="n">
        <v>380</v>
      </c>
      <c r="I150" t="inlineStr">
        <is>
          <t>10Y1001A1001A73I</t>
        </is>
      </c>
      <c r="J150" t="n">
        <v>26.51505473548083</v>
      </c>
    </row>
    <row r="151">
      <c r="A151" t="inlineStr">
        <is>
          <t>ROMA_NORD</t>
        </is>
      </c>
      <c r="B151" t="inlineStr">
        <is>
          <t>IT12000000000311</t>
        </is>
      </c>
      <c r="C151" t="n">
        <v>0.392</v>
      </c>
      <c r="D151" t="inlineStr">
        <is>
          <t>line</t>
        </is>
      </c>
      <c r="E151" t="n">
        <v>150</v>
      </c>
      <c r="F151" t="n">
        <v>2.401</v>
      </c>
      <c r="G151" t="inlineStr">
        <is>
          <t>Castel Giubileo</t>
        </is>
      </c>
      <c r="H151" t="n">
        <v>132</v>
      </c>
      <c r="I151" t="inlineStr">
        <is>
          <t>10Y1001A1001A71M</t>
        </is>
      </c>
      <c r="J151" t="n">
        <v>26.8042111265778</v>
      </c>
    </row>
    <row r="152">
      <c r="A152" t="inlineStr">
        <is>
          <t>Halle-Nord</t>
        </is>
      </c>
      <c r="B152" t="inlineStr">
        <is>
          <t>DETP_ST152021000001</t>
        </is>
      </c>
      <c r="C152" t="n">
        <v>0.993</v>
      </c>
      <c r="D152" t="inlineStr">
        <is>
          <t>line</t>
        </is>
      </c>
      <c r="E152" t="n">
        <v>110</v>
      </c>
      <c r="F152" t="n">
        <v>1.532</v>
      </c>
      <c r="G152" t="inlineStr">
        <is>
          <t>Umspannwerk Halle Nord</t>
        </is>
      </c>
      <c r="H152" t="n">
        <v>110</v>
      </c>
      <c r="I152" t="inlineStr">
        <is>
          <t>10Y1001A1001A83F</t>
        </is>
      </c>
      <c r="J152" t="n">
        <v>25.44809445582878</v>
      </c>
    </row>
    <row r="153">
      <c r="A153" t="inlineStr">
        <is>
          <t>Rijeka-Delta</t>
        </is>
      </c>
      <c r="B153" t="inlineStr">
        <is>
          <t>HRUWWTP_0001116_001</t>
        </is>
      </c>
      <c r="C153" t="n">
        <v>2.085</v>
      </c>
      <c r="D153" t="inlineStr">
        <is>
          <t>line</t>
        </is>
      </c>
      <c r="E153" t="n">
        <v>110</v>
      </c>
      <c r="F153" t="n">
        <v>14.688</v>
      </c>
      <c r="G153" t="inlineStr">
        <is>
          <t>1120979396</t>
        </is>
      </c>
      <c r="H153" t="n">
        <v>400</v>
      </c>
      <c r="I153" t="inlineStr">
        <is>
          <t>10YHR-HEP------M</t>
        </is>
      </c>
      <c r="J153" t="n">
        <v>21.83443695238095</v>
      </c>
    </row>
    <row r="154">
      <c r="A154" t="inlineStr">
        <is>
          <t>MAXEVILLE</t>
        </is>
      </c>
      <c r="B154" t="inlineStr">
        <is>
          <t>FR025435700075</t>
        </is>
      </c>
      <c r="C154" t="n">
        <v>6.212</v>
      </c>
      <c r="D154" t="inlineStr">
        <is>
          <t>line</t>
        </is>
      </c>
      <c r="E154" t="n">
        <v>400</v>
      </c>
      <c r="F154" t="n">
        <v>0.177</v>
      </c>
      <c r="G154" t="inlineStr">
        <is>
          <t>604005372</t>
        </is>
      </c>
      <c r="H154" t="n">
        <v>400</v>
      </c>
      <c r="I154" t="inlineStr">
        <is>
          <t>10YFR-RTE------C</t>
        </is>
      </c>
      <c r="J154" t="n">
        <v>15.19043726169844</v>
      </c>
    </row>
    <row r="155">
      <c r="A155" t="inlineStr">
        <is>
          <t>Salerno_Impianto_Salerno</t>
        </is>
      </c>
      <c r="B155" t="inlineStr">
        <is>
          <t>IT15Q90000003627</t>
        </is>
      </c>
      <c r="C155" t="n">
        <v>2.044</v>
      </c>
      <c r="D155" t="inlineStr">
        <is>
          <t>line</t>
        </is>
      </c>
      <c r="E155" t="n">
        <v>150</v>
      </c>
      <c r="F155" t="n">
        <v>3.352</v>
      </c>
      <c r="G155" t="inlineStr">
        <is>
          <t>Mercatello</t>
        </is>
      </c>
      <c r="H155" t="n">
        <v>150</v>
      </c>
      <c r="I155" t="inlineStr">
        <is>
          <t>10Y1001A1001A788</t>
        </is>
      </c>
      <c r="J155" t="n">
        <v>26.73585572171037</v>
      </c>
    </row>
    <row r="156">
      <c r="A156" t="inlineStr">
        <is>
          <t>ROMA_EST</t>
        </is>
      </c>
      <c r="B156" t="inlineStr">
        <is>
          <t>IT12000000000304</t>
        </is>
      </c>
      <c r="C156" t="n">
        <v>0.443</v>
      </c>
      <c r="D156" t="inlineStr">
        <is>
          <t>line</t>
        </is>
      </c>
      <c r="E156" t="n">
        <v>132</v>
      </c>
      <c r="F156" t="n">
        <v>1.584</v>
      </c>
      <c r="G156" t="inlineStr">
        <is>
          <t>Acea Tor Cervara 1</t>
        </is>
      </c>
      <c r="H156" t="n">
        <v>150</v>
      </c>
      <c r="I156" t="inlineStr">
        <is>
          <t>10Y1001A1001A71M</t>
        </is>
      </c>
      <c r="J156" t="n">
        <v>26.8042111265778</v>
      </c>
    </row>
    <row r="157">
      <c r="A157" t="inlineStr">
        <is>
          <t>MILTON KEYNES   STW</t>
        </is>
      </c>
      <c r="B157" t="inlineStr">
        <is>
          <t>UKENAN_AW_TP000069</t>
        </is>
      </c>
      <c r="C157" t="n">
        <v>5.071</v>
      </c>
      <c r="D157" t="inlineStr">
        <is>
          <t>minor_line</t>
        </is>
      </c>
      <c r="E157" t="n">
        <v>400</v>
      </c>
      <c r="F157" t="n">
        <v>5.378</v>
      </c>
      <c r="G157" t="inlineStr">
        <is>
          <t>Bletchley Substation</t>
        </is>
      </c>
      <c r="H157" t="n">
        <v>132</v>
      </c>
      <c r="I157" t="inlineStr">
        <is>
          <t>10YGB----------A</t>
        </is>
      </c>
      <c r="J157" t="n">
        <v>17.4455556</v>
      </c>
    </row>
    <row r="158">
      <c r="A158" t="inlineStr">
        <is>
          <t>Göppingen</t>
        </is>
      </c>
      <c r="B158" t="inlineStr">
        <is>
          <t>DETP_BW1175100000062</t>
        </is>
      </c>
      <c r="C158" t="n">
        <v>0.625</v>
      </c>
      <c r="D158" t="inlineStr">
        <is>
          <t>line</t>
        </is>
      </c>
      <c r="E158" t="n">
        <v>110</v>
      </c>
      <c r="F158" t="n">
        <v>1.307</v>
      </c>
      <c r="G158" t="inlineStr">
        <is>
          <t>263562753</t>
        </is>
      </c>
      <c r="H158" t="n">
        <v>230</v>
      </c>
      <c r="I158" t="inlineStr">
        <is>
          <t>10Y1001A1001A83F</t>
        </is>
      </c>
      <c r="J158" t="n">
        <v>25.44809445582878</v>
      </c>
    </row>
    <row r="159">
      <c r="A159" t="inlineStr">
        <is>
          <t>2530142095 KA Gümmerwald</t>
        </is>
      </c>
      <c r="B159" t="inlineStr">
        <is>
          <t>DETP_NI253014201</t>
        </is>
      </c>
      <c r="C159" t="n">
        <v>1.223</v>
      </c>
      <c r="D159" t="inlineStr">
        <is>
          <t>line</t>
        </is>
      </c>
      <c r="E159" t="n">
        <v>110</v>
      </c>
      <c r="F159" t="n">
        <v>3.924</v>
      </c>
      <c r="G159" t="inlineStr">
        <is>
          <t>Blumenau</t>
        </is>
      </c>
      <c r="H159" t="n">
        <v>110</v>
      </c>
      <c r="I159" t="inlineStr">
        <is>
          <t>10Y1001A1001A83F</t>
        </is>
      </c>
      <c r="J159" t="n">
        <v>25.44809445582878</v>
      </c>
    </row>
    <row r="160">
      <c r="A160" t="inlineStr">
        <is>
          <t>UWWTP_LJUBLJANA (ZALOG)</t>
        </is>
      </c>
      <c r="B160" t="inlineStr">
        <is>
          <t>SI_KCN_00098</t>
        </is>
      </c>
      <c r="C160" t="n">
        <v>1.285</v>
      </c>
      <c r="D160" t="inlineStr">
        <is>
          <t>line</t>
        </is>
      </c>
      <c r="E160" t="n">
        <v>110</v>
      </c>
      <c r="F160" t="n">
        <v>2.549</v>
      </c>
      <c r="G160" t="inlineStr">
        <is>
          <t>RTP Beričevo</t>
        </is>
      </c>
      <c r="H160" t="n">
        <v>400</v>
      </c>
      <c r="I160" t="inlineStr">
        <is>
          <t>10YGB----------A</t>
        </is>
      </c>
      <c r="J160" t="n">
        <v>17.4455556</v>
      </c>
    </row>
    <row r="161">
      <c r="A161" t="inlineStr">
        <is>
          <t>Dp01209001_Lonate_Pozzolo</t>
        </is>
      </c>
      <c r="B161" t="inlineStr">
        <is>
          <t>IT03160128000384</t>
        </is>
      </c>
      <c r="C161" t="n">
        <v>0.227</v>
      </c>
      <c r="D161" t="inlineStr">
        <is>
          <t>line</t>
        </is>
      </c>
      <c r="E161" t="n">
        <v>132</v>
      </c>
      <c r="F161" t="n">
        <v>0.192</v>
      </c>
      <c r="G161" t="inlineStr">
        <is>
          <t>Depuratore Sant'Antonino</t>
        </is>
      </c>
      <c r="H161" t="n">
        <v>132</v>
      </c>
      <c r="I161" t="inlineStr">
        <is>
          <t>10Y1001A1001A73I</t>
        </is>
      </c>
      <c r="J161" t="n">
        <v>26.51505473548083</v>
      </c>
    </row>
    <row r="162">
      <c r="A162" t="inlineStr">
        <is>
          <t>LMM_LE MANS - LA CHAUVINIÈRE</t>
        </is>
      </c>
      <c r="B162" t="inlineStr">
        <is>
          <t>FR0472181S0016</t>
        </is>
      </c>
      <c r="C162" t="n">
        <v>2.029</v>
      </c>
      <c r="D162" t="inlineStr">
        <is>
          <t>minor_line</t>
        </is>
      </c>
      <c r="E162" t="n">
        <v>400</v>
      </c>
      <c r="F162" t="n">
        <v>0.12</v>
      </c>
      <c r="G162" t="inlineStr">
        <is>
          <t>OTV</t>
        </is>
      </c>
      <c r="H162" t="n">
        <v>400</v>
      </c>
      <c r="I162" t="inlineStr">
        <is>
          <t>10YFR-RTE------C</t>
        </is>
      </c>
      <c r="J162" t="n">
        <v>15.19043726169844</v>
      </c>
    </row>
    <row r="163">
      <c r="A163" t="inlineStr">
        <is>
          <t>QUART - BENAGER</t>
        </is>
      </c>
      <c r="B163" t="inlineStr">
        <is>
          <t>ES10461100001010E</t>
        </is>
      </c>
      <c r="C163" t="n">
        <v>2.393</v>
      </c>
      <c r="D163" t="inlineStr">
        <is>
          <t>line</t>
        </is>
      </c>
      <c r="E163" t="n">
        <v>220</v>
      </c>
      <c r="F163" t="n">
        <v>2.362</v>
      </c>
      <c r="G163" t="inlineStr">
        <is>
          <t>Subestación de Quart</t>
        </is>
      </c>
      <c r="H163" t="n">
        <v>132</v>
      </c>
      <c r="I163" t="inlineStr">
        <is>
          <t>10YES-REE------0</t>
        </is>
      </c>
      <c r="J163" t="n">
        <v>16.61601044273461</v>
      </c>
    </row>
    <row r="164">
      <c r="A164" t="inlineStr">
        <is>
          <t>SKA AZV BREISGAUER BUCHT - KA FORCHHEIM</t>
        </is>
      </c>
      <c r="B164" t="inlineStr">
        <is>
          <t>DETP_BW3165100000008</t>
        </is>
      </c>
      <c r="C164" t="n">
        <v>2.175</v>
      </c>
      <c r="D164" t="inlineStr">
        <is>
          <t>line</t>
        </is>
      </c>
      <c r="E164" t="n">
        <v>380</v>
      </c>
      <c r="F164" t="n">
        <v>4.106</v>
      </c>
      <c r="G164" t="inlineStr">
        <is>
          <t>Umspannwerk Endingen</t>
        </is>
      </c>
      <c r="H164" t="n">
        <v>110</v>
      </c>
      <c r="I164" t="inlineStr">
        <is>
          <t>10Y1001A1001A83F</t>
        </is>
      </c>
      <c r="J164" t="n">
        <v>25.44809445582878</v>
      </c>
    </row>
    <row r="165">
      <c r="A165" t="inlineStr">
        <is>
          <t>LYON - SAINT FONS</t>
        </is>
      </c>
      <c r="B165" t="inlineStr">
        <is>
          <t>FR060969199001</t>
        </is>
      </c>
      <c r="C165" t="n">
        <v>2.398</v>
      </c>
      <c r="D165" t="inlineStr">
        <is>
          <t>line</t>
        </is>
      </c>
      <c r="E165" t="n">
        <v>225</v>
      </c>
      <c r="F165" t="n">
        <v>1.024</v>
      </c>
      <c r="G165" t="inlineStr">
        <is>
          <t>P 124</t>
        </is>
      </c>
      <c r="H165" t="n">
        <v>400</v>
      </c>
      <c r="I165" t="inlineStr">
        <is>
          <t>10YFR-RTE------C</t>
        </is>
      </c>
      <c r="J165" t="n">
        <v>15.19043726169844</v>
      </c>
    </row>
    <row r="166">
      <c r="A166" t="inlineStr">
        <is>
          <t>ALCAZAR DE SAN JUAN-CAMPO DE CRIPTANA</t>
        </is>
      </c>
      <c r="B166" t="inlineStr">
        <is>
          <t>ES8130050002010E</t>
        </is>
      </c>
      <c r="C166" t="n">
        <v>1.903</v>
      </c>
      <c r="D166" t="inlineStr">
        <is>
          <t>line</t>
        </is>
      </c>
      <c r="E166" t="n">
        <v>132</v>
      </c>
      <c r="F166" t="n">
        <v>1.94</v>
      </c>
      <c r="G166" t="inlineStr">
        <is>
          <t>STR Alcázar de San Juan I</t>
        </is>
      </c>
      <c r="H166" t="n">
        <v>132</v>
      </c>
      <c r="I166" t="inlineStr">
        <is>
          <t>10YES-REE------0</t>
        </is>
      </c>
      <c r="J166" t="n">
        <v>16.61601044273461</v>
      </c>
    </row>
    <row r="167">
      <c r="A167" t="inlineStr">
        <is>
          <t>VILLAPEREZ</t>
        </is>
      </c>
      <c r="B167" t="inlineStr">
        <is>
          <t>ES3330441901011E</t>
        </is>
      </c>
      <c r="C167" t="n">
        <v>1.213</v>
      </c>
      <c r="D167" t="inlineStr">
        <is>
          <t>line</t>
        </is>
      </c>
      <c r="E167" t="n">
        <v>132</v>
      </c>
      <c r="F167" t="n">
        <v>2.38</v>
      </c>
      <c r="G167" t="inlineStr">
        <is>
          <t>Subestación eléctrica de La Corredoria</t>
        </is>
      </c>
      <c r="H167" t="n">
        <v>132</v>
      </c>
      <c r="I167" t="inlineStr">
        <is>
          <t>10YES-REE------0</t>
        </is>
      </c>
      <c r="J167" t="n">
        <v>16.61601044273461</v>
      </c>
    </row>
    <row r="168">
      <c r="A168" t="inlineStr">
        <is>
          <t>LOGROÑO</t>
        </is>
      </c>
      <c r="B168" t="inlineStr">
        <is>
          <t>ES17260890002010E</t>
        </is>
      </c>
      <c r="C168" t="n">
        <v>5.082</v>
      </c>
      <c r="D168" t="inlineStr">
        <is>
          <t>line</t>
        </is>
      </c>
      <c r="E168" t="n">
        <v>220</v>
      </c>
      <c r="F168" t="n">
        <v>6.017</v>
      </c>
      <c r="G168" t="inlineStr">
        <is>
          <t>Subestación de Logroño</t>
        </is>
      </c>
      <c r="H168" t="n">
        <v>220</v>
      </c>
      <c r="I168" t="inlineStr">
        <is>
          <t>10YES-REE------0</t>
        </is>
      </c>
      <c r="J168" t="n">
        <v>16.61601044273461</v>
      </c>
    </row>
    <row r="169">
      <c r="A169" t="inlineStr">
        <is>
          <t>Cork city</t>
        </is>
      </c>
      <c r="B169" t="inlineStr">
        <is>
          <t>IETP_D0033</t>
        </is>
      </c>
      <c r="C169" t="n">
        <v>1.398</v>
      </c>
      <c r="D169" t="inlineStr">
        <is>
          <t>line</t>
        </is>
      </c>
      <c r="E169" t="n">
        <v>110</v>
      </c>
      <c r="F169" t="n">
        <v>2.655</v>
      </c>
      <c r="G169" t="inlineStr">
        <is>
          <t>Castleview 110kV Substation</t>
        </is>
      </c>
      <c r="H169" t="n">
        <v>110</v>
      </c>
      <c r="I169" t="inlineStr">
        <is>
          <t>10YIE-1001A00010</t>
        </is>
      </c>
    </row>
    <row r="170">
      <c r="A170" t="inlineStr">
        <is>
          <t>DIJON</t>
        </is>
      </c>
      <c r="B170" t="inlineStr">
        <is>
          <t>FR060921231001</t>
        </is>
      </c>
      <c r="C170" t="n">
        <v>5.658</v>
      </c>
      <c r="D170" t="inlineStr">
        <is>
          <t>cable</t>
        </is>
      </c>
      <c r="E170" t="n">
        <v>400</v>
      </c>
      <c r="F170" t="n">
        <v>0.589</v>
      </c>
      <c r="G170" t="inlineStr">
        <is>
          <t>149300859</t>
        </is>
      </c>
      <c r="H170" t="n">
        <v>400</v>
      </c>
      <c r="I170" t="inlineStr">
        <is>
          <t>10YFR-RTE------C</t>
        </is>
      </c>
      <c r="J170" t="n">
        <v>15.19043726169844</v>
      </c>
    </row>
    <row r="171">
      <c r="A171" t="inlineStr">
        <is>
          <t>COVENTRY  STW</t>
        </is>
      </c>
      <c r="B171" t="inlineStr">
        <is>
          <t>UKENMI_ST_TP000068</t>
        </is>
      </c>
      <c r="C171" t="n">
        <v>3.687</v>
      </c>
      <c r="D171" t="inlineStr">
        <is>
          <t>cable</t>
        </is>
      </c>
      <c r="E171" t="n">
        <v>132</v>
      </c>
      <c r="F171" t="n">
        <v>7.605</v>
      </c>
      <c r="G171" t="inlineStr">
        <is>
          <t>Berkswell Substation</t>
        </is>
      </c>
      <c r="H171" t="n">
        <v>132</v>
      </c>
      <c r="I171" t="inlineStr">
        <is>
          <t>10YGB----------A</t>
        </is>
      </c>
      <c r="J171" t="n">
        <v>17.4455556</v>
      </c>
    </row>
    <row r="172">
      <c r="A172" t="inlineStr">
        <is>
          <t>NORTHAMPTON   STW</t>
        </is>
      </c>
      <c r="B172" t="inlineStr">
        <is>
          <t>UKENAN_AW_TP000107</t>
        </is>
      </c>
      <c r="C172" t="n">
        <v>1.736</v>
      </c>
      <c r="D172" t="inlineStr">
        <is>
          <t>line</t>
        </is>
      </c>
      <c r="E172" t="n">
        <v>132</v>
      </c>
      <c r="F172" t="n">
        <v>2.205</v>
      </c>
      <c r="G172" t="inlineStr">
        <is>
          <t>Northampton East Substation</t>
        </is>
      </c>
      <c r="H172" t="n">
        <v>132</v>
      </c>
      <c r="I172" t="inlineStr">
        <is>
          <t>10YGB----------A</t>
        </is>
      </c>
      <c r="J172" t="n">
        <v>17.4455556</v>
      </c>
    </row>
    <row r="173">
      <c r="A173" t="inlineStr">
        <is>
          <t>Wuppertal-Buchenhofen</t>
        </is>
      </c>
      <c r="B173" t="inlineStr">
        <is>
          <t>DETP_NW608</t>
        </is>
      </c>
      <c r="C173" t="n">
        <v>2.457</v>
      </c>
      <c r="D173" t="inlineStr">
        <is>
          <t>minor_line</t>
        </is>
      </c>
      <c r="E173" t="n">
        <v>380</v>
      </c>
      <c r="F173" t="n">
        <v>2.872</v>
      </c>
      <c r="G173" t="inlineStr">
        <is>
          <t>Station Kabelstraße</t>
        </is>
      </c>
      <c r="H173" t="n">
        <v>110</v>
      </c>
      <c r="I173" t="inlineStr">
        <is>
          <t>10Y1001A1001A83F</t>
        </is>
      </c>
      <c r="J173" t="n">
        <v>25.44809445582878</v>
      </c>
    </row>
    <row r="174">
      <c r="A174" t="inlineStr">
        <is>
          <t>Matosinhos</t>
        </is>
      </c>
      <c r="B174" t="inlineStr">
        <is>
          <t>PT5000519</t>
        </is>
      </c>
      <c r="C174" t="n">
        <v>4.98</v>
      </c>
      <c r="D174" t="inlineStr">
        <is>
          <t>line</t>
        </is>
      </c>
      <c r="E174" t="n">
        <v>220</v>
      </c>
      <c r="F174" t="n">
        <v>5.668</v>
      </c>
      <c r="G174" t="inlineStr">
        <is>
          <t>Subestação de Custóias</t>
        </is>
      </c>
      <c r="H174" t="n">
        <v>220</v>
      </c>
      <c r="I174" t="inlineStr">
        <is>
          <t>10YPT-REN------W</t>
        </is>
      </c>
      <c r="J174" t="n">
        <v>16.81690119916382</v>
      </c>
    </row>
    <row r="175">
      <c r="A175" t="inlineStr">
        <is>
          <t>Rib. de Moinhos</t>
        </is>
      </c>
      <c r="B175" t="inlineStr">
        <is>
          <t>PT20501079</t>
        </is>
      </c>
      <c r="C175" t="n">
        <v>2.796</v>
      </c>
      <c r="D175" t="inlineStr">
        <is>
          <t>line</t>
        </is>
      </c>
      <c r="E175" t="n">
        <v>150</v>
      </c>
      <c r="F175" t="n">
        <v>61.034</v>
      </c>
      <c r="G175" t="inlineStr">
        <is>
          <t>Subestação de Setúbal</t>
        </is>
      </c>
      <c r="H175" t="n">
        <v>150</v>
      </c>
      <c r="I175" t="inlineStr">
        <is>
          <t>10YPT-REN------W</t>
        </is>
      </c>
      <c r="J175" t="n">
        <v>16.81690119916382</v>
      </c>
    </row>
    <row r="176">
      <c r="A176" t="inlineStr">
        <is>
          <t>BUTARQUE</t>
        </is>
      </c>
      <c r="B176" t="inlineStr">
        <is>
          <t>ES13280790001013E</t>
        </is>
      </c>
      <c r="C176" t="n">
        <v>0.166</v>
      </c>
      <c r="D176" t="inlineStr">
        <is>
          <t>cable</t>
        </is>
      </c>
      <c r="E176" t="n">
        <v>132</v>
      </c>
      <c r="F176" t="n">
        <v>5.036</v>
      </c>
      <c r="G176" t="inlineStr">
        <is>
          <t>SET Retamar</t>
        </is>
      </c>
      <c r="H176" t="n">
        <v>220</v>
      </c>
      <c r="I176" t="inlineStr">
        <is>
          <t>10YES-REE------0</t>
        </is>
      </c>
      <c r="J176" t="n">
        <v>16.61601044273461</v>
      </c>
    </row>
    <row r="177">
      <c r="A177" t="inlineStr">
        <is>
          <t>LA GOLONDRINA</t>
        </is>
      </c>
      <c r="B177" t="inlineStr">
        <is>
          <t>ES1140210009010E</t>
        </is>
      </c>
      <c r="C177" t="n">
        <v>1.884</v>
      </c>
      <c r="D177" t="inlineStr">
        <is>
          <t>line</t>
        </is>
      </c>
      <c r="E177" t="n">
        <v>132</v>
      </c>
      <c r="F177" t="n">
        <v>4.433</v>
      </c>
      <c r="G177" t="inlineStr">
        <is>
          <t>Subestación de Casillas</t>
        </is>
      </c>
      <c r="H177" t="n">
        <v>220</v>
      </c>
      <c r="I177" t="inlineStr">
        <is>
          <t>10YES-REE------0</t>
        </is>
      </c>
      <c r="J177" t="n">
        <v>16.61601044273461</v>
      </c>
    </row>
    <row r="178">
      <c r="A178" t="inlineStr">
        <is>
          <t>BEGLES (CLOS DE HILDE)</t>
        </is>
      </c>
      <c r="B178" t="inlineStr">
        <is>
          <t>FR0533039V005</t>
        </is>
      </c>
      <c r="C178" t="n">
        <v>1.426</v>
      </c>
      <c r="D178" t="inlineStr">
        <is>
          <t>line</t>
        </is>
      </c>
      <c r="E178" t="n">
        <v>225</v>
      </c>
      <c r="F178" t="n">
        <v>1.957</v>
      </c>
      <c r="G178" t="inlineStr">
        <is>
          <t>161531117</t>
        </is>
      </c>
      <c r="H178" t="n">
        <v>400</v>
      </c>
      <c r="I178" t="inlineStr">
        <is>
          <t>10YFR-RTE------C</t>
        </is>
      </c>
      <c r="J178" t="n">
        <v>15.19043726169844</v>
      </c>
    </row>
    <row r="179">
      <c r="A179" t="inlineStr">
        <is>
          <t>Agra I e II</t>
        </is>
      </c>
      <c r="B179" t="inlineStr">
        <is>
          <t>PT18075792</t>
        </is>
      </c>
      <c r="C179" t="n">
        <v>0.964</v>
      </c>
      <c r="D179" t="inlineStr">
        <is>
          <t>line</t>
        </is>
      </c>
      <c r="E179" t="n">
        <v>400</v>
      </c>
      <c r="F179" t="n">
        <v>6.463</v>
      </c>
      <c r="G179" t="inlineStr">
        <is>
          <t>322377605</t>
        </is>
      </c>
      <c r="H179" t="n">
        <v>400</v>
      </c>
      <c r="I179" t="inlineStr">
        <is>
          <t>10YPT-REN------W</t>
        </is>
      </c>
      <c r="J179" t="n">
        <v>16.81690119916382</v>
      </c>
    </row>
    <row r="180">
      <c r="A180" t="inlineStr">
        <is>
          <t>Schönerlinde</t>
        </is>
      </c>
      <c r="B180" t="inlineStr">
        <is>
          <t>DETP_BE02</t>
        </is>
      </c>
      <c r="C180" t="n">
        <v>0.831</v>
      </c>
      <c r="D180" t="inlineStr">
        <is>
          <t>line</t>
        </is>
      </c>
      <c r="E180" t="n">
        <v>380</v>
      </c>
      <c r="F180" t="n">
        <v>3.619</v>
      </c>
      <c r="G180" t="inlineStr">
        <is>
          <t>Schönwalde</t>
        </is>
      </c>
      <c r="H180" t="n">
        <v>110</v>
      </c>
      <c r="I180" t="inlineStr">
        <is>
          <t>10Y1001A1001A83F</t>
        </is>
      </c>
      <c r="J180" t="n">
        <v>25.44809445582878</v>
      </c>
    </row>
    <row r="181">
      <c r="A181" t="inlineStr">
        <is>
          <t>BIRMINGHAM &amp; BLACK COUNTRY NO. 1 (MINWORTH) STW</t>
        </is>
      </c>
      <c r="B181" t="inlineStr">
        <is>
          <t>UKENMI_ST_TP000156</t>
        </is>
      </c>
      <c r="C181" t="n">
        <v>0.701</v>
      </c>
      <c r="D181" t="inlineStr">
        <is>
          <t>cable</t>
        </is>
      </c>
      <c r="E181" t="n">
        <v>132</v>
      </c>
      <c r="F181" t="n">
        <v>5.266</v>
      </c>
      <c r="G181" t="inlineStr">
        <is>
          <t>Sutton Coldfield Substation</t>
        </is>
      </c>
      <c r="H181" t="n">
        <v>132</v>
      </c>
      <c r="I181" t="inlineStr">
        <is>
          <t>10YGB----------A</t>
        </is>
      </c>
      <c r="J181" t="n">
        <v>17.4455556</v>
      </c>
    </row>
    <row r="182">
      <c r="A182" t="inlineStr">
        <is>
          <t>METAMORPHOSI</t>
        </is>
      </c>
      <c r="B182" t="inlineStr">
        <is>
          <t>EL300026013</t>
        </is>
      </c>
      <c r="C182" t="n">
        <v>2.192</v>
      </c>
      <c r="D182" t="inlineStr">
        <is>
          <t>line</t>
        </is>
      </c>
      <c r="E182" t="n">
        <v>150</v>
      </c>
      <c r="F182" t="n">
        <v>4.08</v>
      </c>
      <c r="G182" t="inlineStr">
        <is>
          <t>ΚΥΤ ΑΧΑΡΝΩΝ</t>
        </is>
      </c>
      <c r="H182" t="n">
        <v>400</v>
      </c>
      <c r="I182" t="inlineStr">
        <is>
          <t>10YGR-HTSO-----Y</t>
        </is>
      </c>
      <c r="J182" t="n">
        <v>18.83372015364917</v>
      </c>
    </row>
    <row r="183">
      <c r="A183" t="inlineStr">
        <is>
          <t>BLACKBURN STW</t>
        </is>
      </c>
      <c r="B183" t="inlineStr">
        <is>
          <t>UKENNW_UU_TP000018</t>
        </is>
      </c>
      <c r="C183" t="n">
        <v>4.707</v>
      </c>
      <c r="D183" t="inlineStr">
        <is>
          <t>line</t>
        </is>
      </c>
      <c r="E183" t="n">
        <v>400</v>
      </c>
      <c r="F183" t="n">
        <v>8.587999999999999</v>
      </c>
      <c r="G183" t="inlineStr">
        <is>
          <t>Ribble GSP Substation</t>
        </is>
      </c>
      <c r="H183" t="n">
        <v>132</v>
      </c>
      <c r="I183" t="inlineStr">
        <is>
          <t>10YGB----------A</t>
        </is>
      </c>
      <c r="J183" t="n">
        <v>17.4455556</v>
      </c>
    </row>
    <row r="184">
      <c r="A184" t="inlineStr">
        <is>
          <t>FERNEY-VOLTAIRE - AIRE 2</t>
        </is>
      </c>
      <c r="B184" t="inlineStr">
        <is>
          <t>FRCH0000101160</t>
        </is>
      </c>
      <c r="C184" t="n">
        <v>0.356</v>
      </c>
      <c r="D184" t="inlineStr">
        <is>
          <t>line</t>
        </is>
      </c>
      <c r="E184" t="n">
        <v>130</v>
      </c>
      <c r="F184" t="n">
        <v>4.697</v>
      </c>
      <c r="G184" t="inlineStr">
        <is>
          <t>80323449</t>
        </is>
      </c>
      <c r="H184" t="n">
        <v>130</v>
      </c>
      <c r="I184" t="inlineStr">
        <is>
          <t>10YCH-SWISSGRIDZ</t>
        </is>
      </c>
      <c r="J184" t="n">
        <v>8.218298107702871</v>
      </c>
    </row>
    <row r="185">
      <c r="A185" t="inlineStr">
        <is>
          <t>SAN PANTALEON</t>
        </is>
      </c>
      <c r="B185" t="inlineStr">
        <is>
          <t>ES6390060001010E</t>
        </is>
      </c>
      <c r="C185" t="n">
        <v>7.63</v>
      </c>
      <c r="D185" t="inlineStr">
        <is>
          <t>line</t>
        </is>
      </c>
      <c r="E185" t="n">
        <v>220</v>
      </c>
      <c r="F185" t="n">
        <v>7.542</v>
      </c>
      <c r="G185" t="inlineStr">
        <is>
          <t>SET Cicero</t>
        </is>
      </c>
      <c r="H185" t="n">
        <v>400</v>
      </c>
      <c r="I185" t="inlineStr">
        <is>
          <t>10YES-REE------0</t>
        </is>
      </c>
      <c r="J185" t="n">
        <v>16.61601044273461</v>
      </c>
    </row>
    <row r="186">
      <c r="A186" t="inlineStr">
        <is>
          <t>ELX - ALGOROS</t>
        </is>
      </c>
      <c r="B186" t="inlineStr">
        <is>
          <t>ES10030650002001E</t>
        </is>
      </c>
      <c r="C186" t="n">
        <v>4.006</v>
      </c>
      <c r="D186" t="inlineStr">
        <is>
          <t>line</t>
        </is>
      </c>
      <c r="E186" t="n">
        <v>132</v>
      </c>
      <c r="F186" t="n">
        <v>4.858</v>
      </c>
      <c r="G186" t="inlineStr">
        <is>
          <t>SET Elx Sud (Elche Sur)</t>
        </is>
      </c>
      <c r="H186" t="n">
        <v>132</v>
      </c>
      <c r="I186" t="inlineStr">
        <is>
          <t>10YES-REE------0</t>
        </is>
      </c>
      <c r="J186" t="n">
        <v>16.61601044273461</v>
      </c>
    </row>
    <row r="187">
      <c r="A187" t="inlineStr">
        <is>
          <t>SUR</t>
        </is>
      </c>
      <c r="B187" t="inlineStr">
        <is>
          <t>ES13280790001011E</t>
        </is>
      </c>
      <c r="C187" t="n">
        <v>0.836</v>
      </c>
      <c r="D187" t="inlineStr">
        <is>
          <t>line</t>
        </is>
      </c>
      <c r="E187" t="n">
        <v>220</v>
      </c>
      <c r="F187" t="n">
        <v>9.355</v>
      </c>
      <c r="G187" t="inlineStr">
        <is>
          <t>SET Retamar</t>
        </is>
      </c>
      <c r="H187" t="n">
        <v>220</v>
      </c>
      <c r="I187" t="inlineStr">
        <is>
          <t>10YES-REE------0</t>
        </is>
      </c>
      <c r="J187" t="n">
        <v>16.61601044273461</v>
      </c>
    </row>
    <row r="188">
      <c r="A188" t="inlineStr">
        <is>
          <t>ARROYO CULEBRO CUENCA BAJA</t>
        </is>
      </c>
      <c r="B188" t="inlineStr">
        <is>
          <t>ES13280790001019E</t>
        </is>
      </c>
      <c r="C188" t="n">
        <v>1.186</v>
      </c>
      <c r="D188" t="inlineStr">
        <is>
          <t>line</t>
        </is>
      </c>
      <c r="E188" t="n">
        <v>220</v>
      </c>
      <c r="F188" t="n">
        <v>10.93</v>
      </c>
      <c r="G188" t="inlineStr">
        <is>
          <t>SET Retamar</t>
        </is>
      </c>
      <c r="H188" t="n">
        <v>220</v>
      </c>
      <c r="I188" t="inlineStr">
        <is>
          <t>10YES-REE------0</t>
        </is>
      </c>
      <c r="J188" t="n">
        <v>16.61601044273461</v>
      </c>
    </row>
    <row r="189">
      <c r="A189" t="inlineStr">
        <is>
          <t>LA CHINA</t>
        </is>
      </c>
      <c r="B189" t="inlineStr">
        <is>
          <t>ES13280790001012E</t>
        </is>
      </c>
      <c r="C189" t="n">
        <v>0.836</v>
      </c>
      <c r="D189" t="inlineStr">
        <is>
          <t>line</t>
        </is>
      </c>
      <c r="E189" t="n">
        <v>220</v>
      </c>
      <c r="F189" t="n">
        <v>9.355</v>
      </c>
      <c r="G189" t="inlineStr">
        <is>
          <t>SET Retamar</t>
        </is>
      </c>
      <c r="H189" t="n">
        <v>220</v>
      </c>
      <c r="I189" t="inlineStr">
        <is>
          <t>10YES-REE------0</t>
        </is>
      </c>
      <c r="J189" t="n">
        <v>16.61601044273461</v>
      </c>
    </row>
    <row r="190">
      <c r="A190" t="inlineStr">
        <is>
          <t>MAR MENOR SUR</t>
        </is>
      </c>
      <c r="B190" t="inlineStr">
        <is>
          <t>ES14300161912010E</t>
        </is>
      </c>
      <c r="C190" t="n">
        <v>16.758</v>
      </c>
      <c r="D190" t="inlineStr">
        <is>
          <t>line</t>
        </is>
      </c>
      <c r="E190" t="n">
        <v>220</v>
      </c>
      <c r="F190" t="n">
        <v>18.507</v>
      </c>
      <c r="G190" t="inlineStr">
        <is>
          <t>Subestación Hoyamorena</t>
        </is>
      </c>
      <c r="H190" t="n">
        <v>220</v>
      </c>
      <c r="I190" t="inlineStr">
        <is>
          <t>10YES-REE------0</t>
        </is>
      </c>
      <c r="J190" t="n">
        <v>16.61601044273461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3"/>
  <sheetViews>
    <sheetView workbookViewId="0">
      <selection activeCell="A1" sqref="A1"/>
    </sheetView>
  </sheetViews>
  <sheetFormatPr baseColWidth="8" defaultRowHeight="15"/>
  <cols>
    <col width="29" customWidth="1" min="1" max="1"/>
    <col width="67" customWidth="1" min="2" max="2"/>
    <col width="37" customWidth="1" min="3" max="3"/>
    <col width="34" customWidth="1" min="4" max="4"/>
    <col width="32" customWidth="1" min="5" max="5"/>
    <col width="26" customWidth="1" min="6" max="6"/>
  </cols>
  <sheetData>
    <row r="1">
      <c r="A1" s="1" t="inlineStr">
        <is>
          <t>UWWTD Code</t>
        </is>
      </c>
      <c r="B1" s="1" t="inlineStr">
        <is>
          <t>Name</t>
        </is>
      </c>
      <c r="C1" s="1" t="inlineStr">
        <is>
          <t>Distance to possible flood area [m]</t>
        </is>
      </c>
      <c r="D1" s="1" t="inlineStr">
        <is>
          <t>Distance to residential area [m]</t>
        </is>
      </c>
      <c r="E1" s="1" t="inlineStr">
        <is>
          <t>Distance to protected area [m]</t>
        </is>
      </c>
      <c r="F1" s="1" t="inlineStr">
        <is>
          <t>PA_Type</t>
        </is>
      </c>
    </row>
    <row r="2">
      <c r="A2" t="inlineStr">
        <is>
          <t>DETP_HH4/4 AI 3</t>
        </is>
      </c>
      <c r="B2" t="inlineStr">
        <is>
          <t>Klärwerksverbund Köhlbrandhöft Dradenau</t>
        </is>
      </c>
      <c r="C2" t="inlineStr">
        <is>
          <t>&gt; 5000</t>
        </is>
      </c>
      <c r="D2" t="n">
        <v>35.26156783179445</v>
      </c>
      <c r="E2" t="n">
        <v>1973.457609325454</v>
      </c>
      <c r="F2" t="inlineStr">
        <is>
          <t>NATDA DE07 V</t>
        </is>
      </c>
    </row>
    <row r="3">
      <c r="A3" t="inlineStr">
        <is>
          <t>NL25017</t>
        </is>
      </c>
      <c r="B3" t="inlineStr">
        <is>
          <t>UWWTP NIEUWVEER</t>
        </is>
      </c>
      <c r="C3" t="inlineStr">
        <is>
          <t>&gt; 5000</t>
        </is>
      </c>
      <c r="D3" t="n">
        <v>854.4371497811482</v>
      </c>
      <c r="E3" t="n">
        <v>2750.109079518493</v>
      </c>
      <c r="F3" t="inlineStr">
        <is>
          <t>NATDA NL21 notApplicable</t>
        </is>
      </c>
    </row>
    <row r="4">
      <c r="A4" t="inlineStr">
        <is>
          <t>ATTP_4-41003001</t>
        </is>
      </c>
      <c r="B4" t="inlineStr">
        <is>
          <t>Asten - Regionalkläranlage</t>
        </is>
      </c>
      <c r="C4" t="inlineStr">
        <is>
          <t>&gt; 5000</t>
        </is>
      </c>
      <c r="D4" t="n">
        <v>0</v>
      </c>
      <c r="E4" t="n">
        <v>903.4712556443828</v>
      </c>
      <c r="F4" t="inlineStr">
        <is>
          <t>N2K</t>
        </is>
      </c>
    </row>
    <row r="5">
      <c r="A5" t="inlineStr">
        <is>
          <t>ATTP_9-HKA-Simmering</t>
        </is>
      </c>
      <c r="B5" t="inlineStr">
        <is>
          <t>Hauptkläranlage Wien</t>
        </is>
      </c>
      <c r="C5" t="inlineStr">
        <is>
          <t>&gt; 5000</t>
        </is>
      </c>
      <c r="D5" t="n">
        <v>0</v>
      </c>
      <c r="E5" t="n">
        <v>39.22217813821519</v>
      </c>
      <c r="F5" t="inlineStr">
        <is>
          <t>NATDA AT04 V</t>
        </is>
      </c>
    </row>
    <row r="6">
      <c r="A6" t="inlineStr">
        <is>
          <t>PLMP0011</t>
        </is>
      </c>
      <c r="B6" t="inlineStr">
        <is>
          <t>Kraków-Płaszów</t>
        </is>
      </c>
      <c r="C6" t="n">
        <v>1002.378193546026</v>
      </c>
      <c r="D6" t="n">
        <v>262.688151190111</v>
      </c>
      <c r="E6" t="n">
        <v>3383.620416623504</v>
      </c>
      <c r="F6" t="inlineStr">
        <is>
          <t>N2K SAC/SCI</t>
        </is>
      </c>
    </row>
    <row r="7">
      <c r="A7" t="inlineStr">
        <is>
          <t>DETP_NW1805</t>
        </is>
      </c>
      <c r="B7" t="inlineStr">
        <is>
          <t>Köln Stammheim</t>
        </is>
      </c>
      <c r="C7" t="n">
        <v>2957.674200041262</v>
      </c>
      <c r="D7" t="n">
        <v>2.352184696726965</v>
      </c>
      <c r="E7" t="n">
        <v>0</v>
      </c>
      <c r="F7" t="inlineStr">
        <is>
          <t>NATDA DE07 V</t>
        </is>
      </c>
    </row>
    <row r="8">
      <c r="A8" t="inlineStr">
        <is>
          <t>RO8IF_53</t>
        </is>
      </c>
      <c r="B8" t="inlineStr">
        <is>
          <t>ROWP SC APA NOVA SA BUCURESTI</t>
        </is>
      </c>
      <c r="C8" t="inlineStr">
        <is>
          <t>&gt; 5000</t>
        </is>
      </c>
      <c r="D8" t="n">
        <v>0</v>
      </c>
      <c r="E8" t="n">
        <v>4300.399042323593</v>
      </c>
      <c r="F8" t="inlineStr">
        <is>
          <t>N2K SPA</t>
        </is>
      </c>
    </row>
    <row r="9">
      <c r="A9" t="inlineStr">
        <is>
          <t>PLSL0090</t>
        </is>
      </c>
      <c r="B9" t="inlineStr">
        <is>
          <t>Centralna Oczyszczalnia Ścieków w Gliwicach</t>
        </is>
      </c>
      <c r="C9" t="inlineStr">
        <is>
          <t>&gt; 5000</t>
        </is>
      </c>
      <c r="D9" t="n">
        <v>235.4471461723988</v>
      </c>
      <c r="E9" t="n">
        <v>2635.532359887001</v>
      </c>
      <c r="F9" t="inlineStr">
        <is>
          <t>NATDA PL02 IV</t>
        </is>
      </c>
    </row>
    <row r="10">
      <c r="A10" t="inlineStr">
        <is>
          <t>ES2502970002010E</t>
        </is>
      </c>
      <c r="B10" t="inlineStr">
        <is>
          <t>ZARAGOZA (LA CARTUJA)</t>
        </is>
      </c>
      <c r="C10" t="inlineStr">
        <is>
          <t>&gt; 5000</t>
        </is>
      </c>
      <c r="D10" t="n">
        <v>761.5548391308602</v>
      </c>
      <c r="E10" t="n">
        <v>0</v>
      </c>
      <c r="F10" t="inlineStr">
        <is>
          <t>N2K SPA</t>
        </is>
      </c>
    </row>
    <row r="11">
      <c r="A11" t="inlineStr">
        <is>
          <t>PLMZ0011</t>
        </is>
      </c>
      <c r="B11" t="inlineStr">
        <is>
          <t>Zakład Oczyszczalni Ścieków "Czajka"</t>
        </is>
      </c>
      <c r="C11" t="n">
        <v>4529.727076469414</v>
      </c>
      <c r="D11" t="n">
        <v>6.031545667445479</v>
      </c>
      <c r="E11" t="n">
        <v>2063.483880408919</v>
      </c>
      <c r="F11" t="inlineStr">
        <is>
          <t>N2K SAC/SCI</t>
        </is>
      </c>
    </row>
    <row r="12">
      <c r="A12" t="inlineStr">
        <is>
          <t>DETP_NW2102</t>
        </is>
      </c>
      <c r="B12" t="inlineStr">
        <is>
          <t>Krefeld</t>
        </is>
      </c>
      <c r="C12" t="inlineStr">
        <is>
          <t>&gt; 5000</t>
        </is>
      </c>
      <c r="D12" t="n">
        <v>339.2297248109369</v>
      </c>
      <c r="E12" t="n">
        <v>511.5716734754507</v>
      </c>
      <c r="F12" t="inlineStr">
        <is>
          <t>NATDA DE07 V</t>
        </is>
      </c>
    </row>
    <row r="13">
      <c r="A13" t="inlineStr">
        <is>
          <t>NL32002</t>
        </is>
      </c>
      <c r="B13" t="inlineStr">
        <is>
          <t>UWWTP TILBURG-NOORD</t>
        </is>
      </c>
      <c r="C13" t="inlineStr">
        <is>
          <t>&gt; 5000</t>
        </is>
      </c>
      <c r="D13" t="n">
        <v>435.5529547009987</v>
      </c>
      <c r="E13" t="n">
        <v>2612.786963158057</v>
      </c>
      <c r="F13" t="inlineStr">
        <is>
          <t>N2K SAC/SCI</t>
        </is>
      </c>
    </row>
    <row r="14">
      <c r="A14" t="inlineStr">
        <is>
          <t>DETP_BW2225100000001</t>
        </is>
      </c>
      <c r="B14" t="inlineStr">
        <is>
          <t>Kläranlage Mannheim</t>
        </is>
      </c>
      <c r="C14" t="n">
        <v>2902.168318984329</v>
      </c>
      <c r="D14" t="n">
        <v>593.0273216374269</v>
      </c>
      <c r="E14" t="n">
        <v>0</v>
      </c>
      <c r="F14" t="inlineStr">
        <is>
          <t>NATDA DE02 IV</t>
        </is>
      </c>
    </row>
    <row r="15">
      <c r="A15" t="inlineStr">
        <is>
          <t>ES9081690001010E</t>
        </is>
      </c>
      <c r="B15" t="inlineStr">
        <is>
          <t>PRAT DE LLOBREGAT (EL)</t>
        </is>
      </c>
      <c r="C15" t="inlineStr">
        <is>
          <t>&gt; 5000</t>
        </is>
      </c>
      <c r="D15" t="n">
        <v>146.4540826639017</v>
      </c>
      <c r="E15" t="n">
        <v>238.1435769496976</v>
      </c>
      <c r="F15" t="inlineStr">
        <is>
          <t>NATDA ES06 IV</t>
        </is>
      </c>
    </row>
    <row r="16">
      <c r="A16" t="inlineStr">
        <is>
          <t>ES16010590063010E</t>
        </is>
      </c>
      <c r="B16" t="inlineStr">
        <is>
          <t>Crispijana</t>
        </is>
      </c>
      <c r="C16" t="inlineStr">
        <is>
          <t>&gt; 5000</t>
        </is>
      </c>
      <c r="D16" t="n">
        <v>462.3764821453522</v>
      </c>
      <c r="E16" t="n">
        <v>0</v>
      </c>
      <c r="F16" t="inlineStr">
        <is>
          <t>N2K SAC/SCI</t>
        </is>
      </c>
    </row>
    <row r="17">
      <c r="A17" t="inlineStr">
        <is>
          <t>DETP_BE03</t>
        </is>
      </c>
      <c r="B17" t="inlineStr">
        <is>
          <t>Waßmannsdorf</t>
        </is>
      </c>
      <c r="C17" t="inlineStr">
        <is>
          <t>&gt; 5000</t>
        </is>
      </c>
      <c r="D17" t="n">
        <v>0</v>
      </c>
      <c r="E17" t="n">
        <v>2459.233698064373</v>
      </c>
      <c r="F17" t="inlineStr">
        <is>
          <t>NATDA DE07 V</t>
        </is>
      </c>
    </row>
    <row r="18">
      <c r="A18" t="inlineStr">
        <is>
          <t>DETP_MV03.03.1 wbu1437</t>
        </is>
      </c>
      <c r="B18" t="inlineStr">
        <is>
          <t>Rostock - Bramow</t>
        </is>
      </c>
      <c r="C18" t="inlineStr">
        <is>
          <t>&gt; 5000</t>
        </is>
      </c>
      <c r="D18" t="n">
        <v>358.7448131229611</v>
      </c>
      <c r="E18" t="n">
        <v>1979.508479762984</v>
      </c>
      <c r="F18" t="inlineStr">
        <is>
          <t>NATDA DE07 V</t>
        </is>
      </c>
    </row>
    <row r="19">
      <c r="A19" t="inlineStr">
        <is>
          <t>CZ8119-713767-00845451-4/1U</t>
        </is>
      </c>
      <c r="B19" t="inlineStr">
        <is>
          <t>UCOV Ostrava - Privoz</t>
        </is>
      </c>
      <c r="C19" t="inlineStr">
        <is>
          <t>&gt; 5000</t>
        </is>
      </c>
      <c r="D19" t="n">
        <v>478.1126667582034</v>
      </c>
      <c r="E19" t="n">
        <v>1125.823437303382</v>
      </c>
      <c r="F19" t="inlineStr">
        <is>
          <t>NATDA CZ03 III</t>
        </is>
      </c>
    </row>
    <row r="20">
      <c r="A20" t="inlineStr">
        <is>
          <t>BGWT56784_00_01</t>
        </is>
      </c>
      <c r="B20" t="inlineStr">
        <is>
          <t>UWWTP Plovdiv</t>
        </is>
      </c>
      <c r="C20" t="n">
        <v>3295.072284649906</v>
      </c>
      <c r="D20" t="n">
        <v>657.1489675063145</v>
      </c>
      <c r="E20" t="n">
        <v>977.5671702200996</v>
      </c>
      <c r="F20" t="inlineStr">
        <is>
          <t>N2K SAC/SCI</t>
        </is>
      </c>
    </row>
    <row r="21">
      <c r="A21" t="inlineStr">
        <is>
          <t>DETP_HB18-1</t>
        </is>
      </c>
      <c r="B21" t="inlineStr">
        <is>
          <t>Kläranlage Seehausen</t>
        </is>
      </c>
      <c r="C21" t="n">
        <v>3191.187018398222</v>
      </c>
      <c r="D21" t="n">
        <v>0</v>
      </c>
      <c r="E21" t="n">
        <v>166.8408796735893</v>
      </c>
      <c r="F21" t="inlineStr">
        <is>
          <t>N2K SPA</t>
        </is>
      </c>
    </row>
    <row r="22">
      <c r="A22" t="inlineStr">
        <is>
          <t>DETP_ST151541000001</t>
        </is>
      </c>
      <c r="B22" t="inlineStr">
        <is>
          <t>Bitterfeld-Wolfen</t>
        </is>
      </c>
      <c r="C22" t="n">
        <v>1680.880715088478</v>
      </c>
      <c r="D22" t="n">
        <v>384.4943700326121</v>
      </c>
      <c r="E22" t="n">
        <v>228.7357541356021</v>
      </c>
      <c r="F22" t="inlineStr">
        <is>
          <t>N2K SPA</t>
        </is>
      </c>
    </row>
    <row r="23">
      <c r="A23" t="inlineStr">
        <is>
          <t>DETP_NW904</t>
        </is>
      </c>
      <c r="B23" t="inlineStr">
        <is>
          <t>Duisburg-Kaßlerfeld</t>
        </is>
      </c>
      <c r="C23" t="inlineStr">
        <is>
          <t>&gt; 5000</t>
        </is>
      </c>
      <c r="D23" t="n">
        <v>65.59374216576721</v>
      </c>
      <c r="E23" t="n">
        <v>849.2751036508512</v>
      </c>
      <c r="F23" t="inlineStr">
        <is>
          <t>NATDA DE07 V</t>
        </is>
      </c>
    </row>
    <row r="24">
      <c r="A24" t="inlineStr">
        <is>
          <t>PLWL0011</t>
        </is>
      </c>
      <c r="B24" t="inlineStr">
        <is>
          <t>Centralna Oczyszczalnia Ścieków w Koziegłowach</t>
        </is>
      </c>
      <c r="C24" t="n">
        <v>1681.561634032139</v>
      </c>
      <c r="D24" t="n">
        <v>23.7641157370548</v>
      </c>
      <c r="E24" t="n">
        <v>2223.043802779143</v>
      </c>
      <c r="F24" t="inlineStr">
        <is>
          <t>NATDA PL03 V</t>
        </is>
      </c>
    </row>
    <row r="25">
      <c r="A25" t="inlineStr">
        <is>
          <t>RO2GL_51</t>
        </is>
      </c>
      <c r="B25" t="inlineStr">
        <is>
          <t>ROWP GALATI</t>
        </is>
      </c>
      <c r="C25" t="inlineStr">
        <is>
          <t>&gt; 5000</t>
        </is>
      </c>
      <c r="D25" t="n">
        <v>162.2940533981386</v>
      </c>
      <c r="E25" t="n">
        <v>756.3302932094634</v>
      </c>
      <c r="F25" t="inlineStr">
        <is>
          <t>NATDA RO10 notAssigned</t>
        </is>
      </c>
    </row>
    <row r="26">
      <c r="A26" t="inlineStr">
        <is>
          <t>DETP_BW2125100000014</t>
        </is>
      </c>
      <c r="B26" t="inlineStr">
        <is>
          <t>SKA Karlsruhe Neureut</t>
        </is>
      </c>
      <c r="C26" t="n">
        <v>1771.902174473235</v>
      </c>
      <c r="D26" t="n">
        <v>67.14353413550418</v>
      </c>
      <c r="E26" t="n">
        <v>261.7176331310876</v>
      </c>
      <c r="F26" t="inlineStr">
        <is>
          <t>N2K SPA</t>
        </is>
      </c>
    </row>
    <row r="27">
      <c r="A27" t="inlineStr">
        <is>
          <t>ATTP_6-M3631054R0</t>
        </is>
      </c>
      <c r="B27" t="inlineStr">
        <is>
          <t>Gratkorn</t>
        </is>
      </c>
      <c r="C27" t="inlineStr">
        <is>
          <t>&gt; 5000</t>
        </is>
      </c>
      <c r="D27" t="n">
        <v>0</v>
      </c>
      <c r="E27" t="n">
        <v>602.3493569448217</v>
      </c>
      <c r="F27" t="inlineStr">
        <is>
          <t>NATDA AT04 V</t>
        </is>
      </c>
    </row>
    <row r="28">
      <c r="A28" t="inlineStr">
        <is>
          <t>IT05000000000043</t>
        </is>
      </c>
      <c r="B28" t="inlineStr">
        <is>
          <t>Arzignano_Via_Altura</t>
        </is>
      </c>
      <c r="C28" t="inlineStr">
        <is>
          <t>&gt; 5000</t>
        </is>
      </c>
      <c r="D28" t="n">
        <v>581.4911292280009</v>
      </c>
      <c r="E28" t="inlineStr">
        <is>
          <t>&gt; 5000</t>
        </is>
      </c>
      <c r="F28" t="inlineStr">
        <is>
          <t>N2K SAC/SCI</t>
        </is>
      </c>
    </row>
    <row r="29">
      <c r="A29" t="inlineStr">
        <is>
          <t>DETP_NW906</t>
        </is>
      </c>
      <c r="B29" t="inlineStr">
        <is>
          <t>Duisburg-Alte Emscher</t>
        </is>
      </c>
      <c r="C29" t="inlineStr">
        <is>
          <t>&gt; 5000</t>
        </is>
      </c>
      <c r="D29" t="n">
        <v>0</v>
      </c>
      <c r="E29" t="n">
        <v>757.870975584873</v>
      </c>
      <c r="F29" t="inlineStr">
        <is>
          <t>NATDA DE02 IV</t>
        </is>
      </c>
    </row>
    <row r="30">
      <c r="A30" t="inlineStr">
        <is>
          <t>DETP_HE064140000101</t>
        </is>
      </c>
      <c r="B30" t="inlineStr">
        <is>
          <t>Wiesbaden / Mitte</t>
        </is>
      </c>
      <c r="C30" t="inlineStr">
        <is>
          <t>&gt; 5000</t>
        </is>
      </c>
      <c r="D30" t="n">
        <v>0</v>
      </c>
      <c r="E30" t="n">
        <v>940.6875672117998</v>
      </c>
      <c r="F30" t="inlineStr">
        <is>
          <t>NATDA DE07 V</t>
        </is>
      </c>
    </row>
    <row r="31">
      <c r="A31" t="inlineStr">
        <is>
          <t>DETP_NW905</t>
        </is>
      </c>
      <c r="B31" t="inlineStr">
        <is>
          <t>Emscherkläranlage</t>
        </is>
      </c>
      <c r="C31" t="inlineStr">
        <is>
          <t>&gt; 5000</t>
        </is>
      </c>
      <c r="D31" t="n">
        <v>0</v>
      </c>
      <c r="E31" t="n">
        <v>0</v>
      </c>
      <c r="F31" t="inlineStr">
        <is>
          <t>NATDA DE07 V</t>
        </is>
      </c>
    </row>
    <row r="32">
      <c r="A32" t="inlineStr">
        <is>
          <t>ATTP_6-M3489301R0</t>
        </is>
      </c>
      <c r="B32" t="inlineStr">
        <is>
          <t>Graz-Gössendorf</t>
        </is>
      </c>
      <c r="C32" t="inlineStr">
        <is>
          <t>&gt; 5000</t>
        </is>
      </c>
      <c r="D32" t="n">
        <v>127.1232847865393</v>
      </c>
      <c r="E32" t="n">
        <v>0</v>
      </c>
      <c r="F32" t="inlineStr">
        <is>
          <t>NATDA AT04 V</t>
        </is>
      </c>
    </row>
    <row r="33">
      <c r="A33" t="inlineStr">
        <is>
          <t>DETP_BYM-K0001</t>
        </is>
      </c>
      <c r="B33" t="inlineStr">
        <is>
          <t>München II - Gut Marienhof</t>
        </is>
      </c>
      <c r="C33" t="inlineStr">
        <is>
          <t>&gt; 5000</t>
        </is>
      </c>
      <c r="D33" t="n">
        <v>505.4497467359108</v>
      </c>
      <c r="E33" t="n">
        <v>472.6710039563378</v>
      </c>
      <c r="F33" t="inlineStr">
        <is>
          <t>NATDA DE07 V</t>
        </is>
      </c>
    </row>
    <row r="34">
      <c r="A34" t="inlineStr">
        <is>
          <t>IT03160128000457</t>
        </is>
      </c>
      <c r="B34" t="inlineStr">
        <is>
          <t>Dp01514602_Milano_S_Rocco</t>
        </is>
      </c>
      <c r="C34" t="inlineStr">
        <is>
          <t>&gt; 5000</t>
        </is>
      </c>
      <c r="D34" t="n">
        <v>462.0828404880198</v>
      </c>
      <c r="E34" t="inlineStr">
        <is>
          <t>&gt; 5000</t>
        </is>
      </c>
      <c r="F34" t="inlineStr">
        <is>
          <t>N2K SAC/SCI</t>
        </is>
      </c>
    </row>
    <row r="35">
      <c r="A35" t="inlineStr">
        <is>
          <t>ES16200690005010E</t>
        </is>
      </c>
      <c r="B35" t="inlineStr">
        <is>
          <t>Loiola</t>
        </is>
      </c>
      <c r="C35" t="inlineStr">
        <is>
          <t>&gt; 5000</t>
        </is>
      </c>
      <c r="D35" t="n">
        <v>177.4617467798084</v>
      </c>
      <c r="E35" t="n">
        <v>3290.326960744939</v>
      </c>
      <c r="F35" t="inlineStr">
        <is>
          <t>N2K SAC/SCI</t>
        </is>
      </c>
    </row>
    <row r="36">
      <c r="A36" t="inlineStr">
        <is>
          <t>PLMP0016</t>
        </is>
      </c>
      <c r="B36" t="inlineStr">
        <is>
          <t>Kraków-Kujawy</t>
        </is>
      </c>
      <c r="C36" t="n">
        <v>860.2891277381207</v>
      </c>
      <c r="D36" t="n">
        <v>24.08021223787474</v>
      </c>
      <c r="E36" t="n">
        <v>3980.286903165</v>
      </c>
      <c r="F36" t="inlineStr">
        <is>
          <t>N2K SAC/SCI</t>
        </is>
      </c>
    </row>
    <row r="37">
      <c r="A37" t="inlineStr">
        <is>
          <t>DETP_NW1502</t>
        </is>
      </c>
      <c r="B37" t="inlineStr">
        <is>
          <t>Bottrop</t>
        </is>
      </c>
      <c r="C37" t="inlineStr">
        <is>
          <t>&gt; 5000</t>
        </is>
      </c>
      <c r="D37" t="n">
        <v>0</v>
      </c>
      <c r="E37" t="n">
        <v>0</v>
      </c>
      <c r="F37" t="inlineStr">
        <is>
          <t>NATDA DE07 V</t>
        </is>
      </c>
    </row>
    <row r="38">
      <c r="A38" t="inlineStr">
        <is>
          <t>DETP_RP102380095</t>
        </is>
      </c>
      <c r="B38" t="inlineStr">
        <is>
          <t>Mainz</t>
        </is>
      </c>
      <c r="C38" t="inlineStr">
        <is>
          <t>&gt; 5000</t>
        </is>
      </c>
      <c r="D38" t="n">
        <v>368.4152663691434</v>
      </c>
      <c r="E38" t="n">
        <v>77.16933467896956</v>
      </c>
      <c r="F38" t="inlineStr">
        <is>
          <t>N2K SPA</t>
        </is>
      </c>
    </row>
    <row r="39">
      <c r="A39" t="inlineStr">
        <is>
          <t>DETP_BYDON-K0001</t>
        </is>
      </c>
      <c r="B39" t="inlineStr">
        <is>
          <t>Augsburg</t>
        </is>
      </c>
      <c r="C39" t="n">
        <v>4745.686507683386</v>
      </c>
      <c r="D39" t="n">
        <v>269.4468322649316</v>
      </c>
      <c r="E39" t="n">
        <v>1905.948257204254</v>
      </c>
      <c r="F39" t="inlineStr">
        <is>
          <t>N2K SAC/SCI</t>
        </is>
      </c>
    </row>
    <row r="40">
      <c r="A40" t="inlineStr">
        <is>
          <t>FR037635102000</t>
        </is>
      </c>
      <c r="B40" t="inlineStr">
        <is>
          <t>LE HAVRE</t>
        </is>
      </c>
      <c r="C40" t="n">
        <v>0</v>
      </c>
      <c r="D40" t="n">
        <v>222.1747366294902</v>
      </c>
      <c r="E40" t="n">
        <v>2291.643339766888</v>
      </c>
      <c r="F40" t="inlineStr">
        <is>
          <t>N2K SAC/SCI</t>
        </is>
      </c>
    </row>
    <row r="41">
      <c r="A41" t="inlineStr">
        <is>
          <t>IT03160128000456</t>
        </is>
      </c>
      <c r="B41" t="inlineStr">
        <is>
          <t>Dp01514601_Milano_Nosedo</t>
        </is>
      </c>
      <c r="C41" t="n">
        <v>2810.030808964419</v>
      </c>
      <c r="D41" t="n">
        <v>0</v>
      </c>
      <c r="E41" t="inlineStr">
        <is>
          <t>&gt; 5000</t>
        </is>
      </c>
      <c r="F41" t="inlineStr">
        <is>
          <t>N2K SAC/SCI</t>
        </is>
      </c>
    </row>
    <row r="42">
      <c r="A42" t="inlineStr">
        <is>
          <t>UKENNE_NU_TP000012</t>
        </is>
      </c>
      <c r="B42" t="inlineStr">
        <is>
          <t>MIDDLESBOROUGH   STW</t>
        </is>
      </c>
      <c r="C42" t="inlineStr">
        <is>
          <t>&gt; 5000</t>
        </is>
      </c>
      <c r="D42" t="n">
        <v>1781.262225494985</v>
      </c>
      <c r="E42" t="n">
        <v>2081.685013459488</v>
      </c>
      <c r="F42" t="inlineStr">
        <is>
          <t>N2K SPA</t>
        </is>
      </c>
    </row>
    <row r="43">
      <c r="A43" t="inlineStr">
        <is>
          <t>UKENNE_YW_TP000098</t>
        </is>
      </c>
      <c r="B43" t="inlineStr">
        <is>
          <t>LEEDS (KNOSTROP) STW</t>
        </is>
      </c>
      <c r="C43" t="inlineStr">
        <is>
          <t>&gt; 5000</t>
        </is>
      </c>
      <c r="D43" t="n">
        <v>94.60197792222522</v>
      </c>
      <c r="E43" t="inlineStr">
        <is>
          <t>&gt; 5000</t>
        </is>
      </c>
    </row>
    <row r="44">
      <c r="A44" t="inlineStr">
        <is>
          <t>FIJVP_O000000000036</t>
        </is>
      </c>
      <c r="B44" t="inlineStr">
        <is>
          <t>TP (36) of Helsingin kt.</t>
        </is>
      </c>
      <c r="C44" t="n">
        <v>0</v>
      </c>
      <c r="D44" t="n">
        <v>22.20587374623761</v>
      </c>
      <c r="E44" t="n">
        <v>2025.798004794508</v>
      </c>
      <c r="F44" t="inlineStr">
        <is>
          <t>NATDA FI16 IV</t>
        </is>
      </c>
    </row>
    <row r="45">
      <c r="A45" t="inlineStr">
        <is>
          <t>PLMP0020</t>
        </is>
      </c>
      <c r="B45" t="inlineStr">
        <is>
          <t>Tarnów</t>
        </is>
      </c>
      <c r="C45" t="n">
        <v>760.4037300169906</v>
      </c>
      <c r="D45" t="n">
        <v>432.2857119981369</v>
      </c>
      <c r="E45" t="n">
        <v>724.532106647065</v>
      </c>
      <c r="F45" t="inlineStr">
        <is>
          <t>N2K SAC/SCI</t>
        </is>
      </c>
    </row>
    <row r="46">
      <c r="A46" t="inlineStr">
        <is>
          <t>DETP_BB239</t>
        </is>
      </c>
      <c r="B46" t="inlineStr">
        <is>
          <t>Stahnsdorf</t>
        </is>
      </c>
      <c r="C46" t="inlineStr">
        <is>
          <t>&gt; 5000</t>
        </is>
      </c>
      <c r="D46" t="n">
        <v>0</v>
      </c>
      <c r="E46" t="n">
        <v>1757.756231920509</v>
      </c>
      <c r="F46" t="inlineStr">
        <is>
          <t>NATDA DE02 IV</t>
        </is>
      </c>
    </row>
    <row r="47">
      <c r="A47" t="inlineStr">
        <is>
          <t>NL25021</t>
        </is>
      </c>
      <c r="B47" t="inlineStr">
        <is>
          <t>UWWTP BATH</t>
        </is>
      </c>
      <c r="C47" t="inlineStr">
        <is>
          <t>&gt; 5000</t>
        </is>
      </c>
      <c r="D47" t="n">
        <v>294.8111486752441</v>
      </c>
      <c r="E47" t="n">
        <v>827.9089630185218</v>
      </c>
      <c r="F47" t="inlineStr">
        <is>
          <t>N2K SPA</t>
        </is>
      </c>
    </row>
    <row r="48">
      <c r="A48" t="inlineStr">
        <is>
          <t>NL16010</t>
        </is>
      </c>
      <c r="B48" t="inlineStr">
        <is>
          <t>UWWTP KRALINGSEVEER</t>
        </is>
      </c>
      <c r="C48" t="inlineStr">
        <is>
          <t>&gt; 5000</t>
        </is>
      </c>
      <c r="D48" t="n">
        <v>396.225161647413</v>
      </c>
      <c r="E48" t="inlineStr">
        <is>
          <t>&gt; 5000</t>
        </is>
      </c>
      <c r="F48" t="inlineStr">
        <is>
          <t>N2K SPA</t>
        </is>
      </c>
    </row>
    <row r="49">
      <c r="A49" t="inlineStr">
        <is>
          <t>PLPM0110</t>
        </is>
      </c>
      <c r="B49" t="inlineStr">
        <is>
          <t>International Paper-Kwidzyn Sp z o.o.</t>
        </is>
      </c>
      <c r="C49" t="n">
        <v>899.6191829462518</v>
      </c>
      <c r="D49" t="n">
        <v>1144.189196176999</v>
      </c>
      <c r="E49" t="n">
        <v>129.7995771160097</v>
      </c>
      <c r="F49" t="inlineStr">
        <is>
          <t>NATDA PL04 notAssigned</t>
        </is>
      </c>
    </row>
    <row r="50">
      <c r="A50" t="inlineStr">
        <is>
          <t>PLLO0010</t>
        </is>
      </c>
      <c r="B50" t="inlineStr">
        <is>
          <t>Goś Łam</t>
        </is>
      </c>
      <c r="C50" t="n">
        <v>1489.053669445404</v>
      </c>
      <c r="D50" t="n">
        <v>83.6290096598441</v>
      </c>
      <c r="E50" t="inlineStr">
        <is>
          <t>&gt; 5000</t>
        </is>
      </c>
      <c r="F50" t="inlineStr">
        <is>
          <t>NATDA PL02 IV</t>
        </is>
      </c>
    </row>
    <row r="51">
      <c r="A51" t="inlineStr">
        <is>
          <t>PLKP0011</t>
        </is>
      </c>
      <c r="B51" t="inlineStr">
        <is>
          <t>Toruń Centralna Oczyszczalnia Ścieków</t>
        </is>
      </c>
      <c r="C51" t="n">
        <v>4249.716155621076</v>
      </c>
      <c r="D51" t="n">
        <v>258.4480096014442</v>
      </c>
      <c r="E51" t="n">
        <v>0</v>
      </c>
      <c r="F51" t="inlineStr">
        <is>
          <t>N2K SPA</t>
        </is>
      </c>
    </row>
    <row r="52">
      <c r="A52" t="inlineStr">
        <is>
          <t>DETP_BE01</t>
        </is>
      </c>
      <c r="B52" t="inlineStr">
        <is>
          <t>Ruhleben</t>
        </is>
      </c>
      <c r="C52" t="n">
        <v>66.3805154438236</v>
      </c>
      <c r="D52" t="n">
        <v>189.1343427667435</v>
      </c>
      <c r="E52" t="n">
        <v>409.7301763459474</v>
      </c>
      <c r="F52" t="inlineStr">
        <is>
          <t>N2K SAC/SCI</t>
        </is>
      </c>
    </row>
    <row r="53">
      <c r="A53" t="inlineStr">
        <is>
          <t>DETP_BW2215100000002</t>
        </is>
      </c>
      <c r="B53" t="inlineStr">
        <is>
          <t>SKA AZV Heidelberg</t>
        </is>
      </c>
      <c r="C53" t="n">
        <v>116.6456398783425</v>
      </c>
      <c r="D53" t="n">
        <v>18.09955201543107</v>
      </c>
      <c r="E53" t="n">
        <v>65.28490300413645</v>
      </c>
      <c r="F53" t="inlineStr">
        <is>
          <t>NATDA DE07 V</t>
        </is>
      </c>
    </row>
    <row r="54">
      <c r="A54" t="inlineStr">
        <is>
          <t>BGWT68134_00_01</t>
        </is>
      </c>
      <c r="B54" t="inlineStr">
        <is>
          <t>UWWTP Sofia</t>
        </is>
      </c>
      <c r="C54" t="inlineStr">
        <is>
          <t>&gt; 5000</t>
        </is>
      </c>
      <c r="D54" t="n">
        <v>0</v>
      </c>
      <c r="E54" t="n">
        <v>1902.45810191832</v>
      </c>
      <c r="F54" t="inlineStr">
        <is>
          <t>NATDA BG06 VI</t>
        </is>
      </c>
    </row>
    <row r="55">
      <c r="A55" t="inlineStr">
        <is>
          <t>PLPM0010</t>
        </is>
      </c>
      <c r="B55" t="inlineStr">
        <is>
          <t>Gdańsk-Wschód</t>
        </is>
      </c>
      <c r="C55" t="n">
        <v>1353.897050731131</v>
      </c>
      <c r="D55" t="n">
        <v>89.61052782777551</v>
      </c>
      <c r="E55" t="n">
        <v>1467.606761077113</v>
      </c>
      <c r="F55" t="inlineStr">
        <is>
          <t>NATDA PL04 notAssigned</t>
        </is>
      </c>
    </row>
    <row r="56">
      <c r="A56" t="inlineStr">
        <is>
          <t>DETP_HE064120006011</t>
        </is>
      </c>
      <c r="B56" t="inlineStr">
        <is>
          <t>Frankfurt am Main / Sindlingen</t>
        </is>
      </c>
      <c r="C56" t="n">
        <v>128.4854209883415</v>
      </c>
      <c r="D56" t="n">
        <v>117.7049472393622</v>
      </c>
      <c r="E56" t="n">
        <v>169.2883095874372</v>
      </c>
      <c r="F56" t="inlineStr">
        <is>
          <t>NATDA DE07 V</t>
        </is>
      </c>
    </row>
    <row r="57">
      <c r="A57" t="inlineStr">
        <is>
          <t>ES1210410001010E</t>
        </is>
      </c>
      <c r="B57" t="inlineStr">
        <is>
          <t>HUELVA</t>
        </is>
      </c>
      <c r="C57" t="inlineStr">
        <is>
          <t>&gt; 5000</t>
        </is>
      </c>
      <c r="D57" t="n">
        <v>447.5426744231545</v>
      </c>
      <c r="E57" t="n">
        <v>405.8855497343119</v>
      </c>
      <c r="F57" t="inlineStr">
        <is>
          <t>N2K SAC/SCI</t>
        </is>
      </c>
    </row>
    <row r="58">
      <c r="A58" t="inlineStr">
        <is>
          <t>IT05000000000213</t>
        </is>
      </c>
      <c r="B58" t="inlineStr">
        <is>
          <t>Venezia_Fusina_Via_Dei_Cantieri</t>
        </is>
      </c>
      <c r="C58" t="inlineStr">
        <is>
          <t>&gt; 5000</t>
        </is>
      </c>
      <c r="D58" t="n">
        <v>953.8610001514056</v>
      </c>
      <c r="E58" t="n">
        <v>970.2888649245604</v>
      </c>
      <c r="F58" t="inlineStr">
        <is>
          <t>N2K SPA</t>
        </is>
      </c>
    </row>
    <row r="59">
      <c r="A59" t="inlineStr">
        <is>
          <t>NL31005</t>
        </is>
      </c>
      <c r="B59" t="inlineStr">
        <is>
          <t>UWWTP AMSTERDAN-WESTPOORT</t>
        </is>
      </c>
      <c r="C59" t="inlineStr">
        <is>
          <t>&gt; 5000</t>
        </is>
      </c>
      <c r="D59" t="n">
        <v>977.9737607006444</v>
      </c>
      <c r="E59" t="n">
        <v>2389.820814645896</v>
      </c>
      <c r="F59" t="inlineStr">
        <is>
          <t>N2K SAC/SCI</t>
        </is>
      </c>
    </row>
    <row r="60">
      <c r="A60" t="inlineStr">
        <is>
          <t>NL15008</t>
        </is>
      </c>
      <c r="B60" t="inlineStr">
        <is>
          <t>UWWTP HARNASCHPOLDER</t>
        </is>
      </c>
      <c r="C60" t="inlineStr">
        <is>
          <t>&gt; 5000</t>
        </is>
      </c>
      <c r="D60" t="n">
        <v>43.46329115820755</v>
      </c>
      <c r="E60" t="inlineStr">
        <is>
          <t>&gt; 5000</t>
        </is>
      </c>
      <c r="F60" t="inlineStr">
        <is>
          <t>N2K SAC/SCI</t>
        </is>
      </c>
    </row>
    <row r="61">
      <c r="A61" t="inlineStr">
        <is>
          <t>UKENTH_TWU_TP000125</t>
        </is>
      </c>
      <c r="B61" t="inlineStr">
        <is>
          <t>LONDON (Riverside STW)</t>
        </is>
      </c>
      <c r="C61" t="inlineStr">
        <is>
          <t>&gt; 5000</t>
        </is>
      </c>
      <c r="D61" t="n">
        <v>310.2721310331174</v>
      </c>
      <c r="E61" t="inlineStr">
        <is>
          <t>&gt; 5000</t>
        </is>
      </c>
    </row>
    <row r="62">
      <c r="A62" t="inlineStr">
        <is>
          <t>UKENNE_YW_TP000095</t>
        </is>
      </c>
      <c r="B62" t="inlineStr">
        <is>
          <t>HULL STW</t>
        </is>
      </c>
      <c r="C62" t="inlineStr">
        <is>
          <t>&gt; 5000</t>
        </is>
      </c>
      <c r="D62" t="n">
        <v>22.42506097868453</v>
      </c>
      <c r="E62" t="n">
        <v>765.8560928486875</v>
      </c>
      <c r="F62" t="inlineStr">
        <is>
          <t>N2K SPA</t>
        </is>
      </c>
    </row>
    <row r="63">
      <c r="A63" t="inlineStr">
        <is>
          <t>DETP_NW1</t>
        </is>
      </c>
      <c r="B63" t="inlineStr">
        <is>
          <t>Aachen-Soers</t>
        </is>
      </c>
      <c r="C63" t="inlineStr">
        <is>
          <t>&gt; 5000</t>
        </is>
      </c>
      <c r="D63" t="n">
        <v>36.19414645931042</v>
      </c>
      <c r="E63" t="n">
        <v>0</v>
      </c>
      <c r="F63" t="inlineStr">
        <is>
          <t>NATDA DE02 IV</t>
        </is>
      </c>
    </row>
    <row r="64">
      <c r="A64" t="inlineStr">
        <is>
          <t>HU-WWTP-AIA440</t>
        </is>
      </c>
      <c r="B64" t="inlineStr">
        <is>
          <t>Budapest (Eszak Pest) - Szennyviztisztito Telep</t>
        </is>
      </c>
      <c r="C64" t="inlineStr">
        <is>
          <t>&gt; 5000</t>
        </is>
      </c>
      <c r="D64" t="n">
        <v>253.1809631411831</v>
      </c>
      <c r="E64" t="n">
        <v>1725.17476351079</v>
      </c>
      <c r="F64" t="inlineStr">
        <is>
          <t>N2K SAC/SCI</t>
        </is>
      </c>
    </row>
    <row r="65">
      <c r="A65" t="inlineStr">
        <is>
          <t>IT08000000000007</t>
        </is>
      </c>
      <c r="B65" t="inlineStr">
        <is>
          <t>Bologna_Corticella</t>
        </is>
      </c>
      <c r="C65" t="n">
        <v>0</v>
      </c>
      <c r="D65" t="n">
        <v>14.85985788346052</v>
      </c>
      <c r="E65" t="n">
        <v>3498.541465588038</v>
      </c>
      <c r="F65" t="inlineStr">
        <is>
          <t>N2K SAC/SCI</t>
        </is>
      </c>
    </row>
    <row r="66">
      <c r="A66" t="inlineStr">
        <is>
          <t>PLPM0020</t>
        </is>
      </c>
      <c r="B66" t="inlineStr">
        <is>
          <t>Goś Dębogórze</t>
        </is>
      </c>
      <c r="C66" t="n">
        <v>15.2016400226283</v>
      </c>
      <c r="D66" t="n">
        <v>32.13003345810512</v>
      </c>
      <c r="E66" t="n">
        <v>4444.197412409465</v>
      </c>
      <c r="F66" t="inlineStr">
        <is>
          <t>N2K SAC/SCI</t>
        </is>
      </c>
    </row>
    <row r="67">
      <c r="A67" t="inlineStr">
        <is>
          <t>DETP_ST152611000039</t>
        </is>
      </c>
      <c r="B67" t="inlineStr">
        <is>
          <t>Schkopau</t>
        </is>
      </c>
      <c r="C67" t="n">
        <v>22.15170483173203</v>
      </c>
      <c r="D67" t="n">
        <v>17.70026572172032</v>
      </c>
      <c r="E67" t="n">
        <v>0.594291246758918</v>
      </c>
      <c r="F67" t="inlineStr">
        <is>
          <t>N2K SPA</t>
        </is>
      </c>
    </row>
    <row r="68">
      <c r="A68" t="inlineStr">
        <is>
          <t>HRUWWTP_0004008_001</t>
        </is>
      </c>
      <c r="B68" t="inlineStr">
        <is>
          <t>Zagreb</t>
        </is>
      </c>
      <c r="C68" t="n">
        <v>0</v>
      </c>
      <c r="D68" t="n">
        <v>0</v>
      </c>
      <c r="E68" t="n">
        <v>1630.748754159874</v>
      </c>
      <c r="F68" t="inlineStr">
        <is>
          <t>N2K SAC/SCI</t>
        </is>
      </c>
    </row>
    <row r="69">
      <c r="A69" t="inlineStr">
        <is>
          <t>UKENTH_TWU_TP000102</t>
        </is>
      </c>
      <c r="B69" t="inlineStr">
        <is>
          <t>LONDON (Long Reach STW)</t>
        </is>
      </c>
      <c r="C69" t="inlineStr">
        <is>
          <t>&gt; 5000</t>
        </is>
      </c>
      <c r="D69" t="n">
        <v>39.30369401496223</v>
      </c>
      <c r="E69" t="inlineStr">
        <is>
          <t>&gt; 5000</t>
        </is>
      </c>
      <c r="F69" t="inlineStr">
        <is>
          <t>N2K SPA</t>
        </is>
      </c>
    </row>
    <row r="70">
      <c r="A70" t="inlineStr">
        <is>
          <t>PLLO0030</t>
        </is>
      </c>
      <c r="B70" t="inlineStr">
        <is>
          <t>Kutno</t>
        </is>
      </c>
      <c r="C70" t="n">
        <v>962.6705411929732</v>
      </c>
      <c r="D70" t="n">
        <v>763.9645633377195</v>
      </c>
      <c r="E70" t="inlineStr">
        <is>
          <t>&gt; 5000</t>
        </is>
      </c>
      <c r="F70" t="inlineStr">
        <is>
          <t>NATDA PL04 notAssigned</t>
        </is>
      </c>
    </row>
    <row r="71">
      <c r="A71" t="inlineStr">
        <is>
          <t>FR026830000459</t>
        </is>
      </c>
      <c r="B71" t="inlineStr">
        <is>
          <t>SAUSHEIM</t>
        </is>
      </c>
      <c r="C71" t="n">
        <v>0</v>
      </c>
      <c r="D71" t="n">
        <v>140.169926498912</v>
      </c>
      <c r="E71" t="n">
        <v>412.6830716339224</v>
      </c>
      <c r="F71" t="inlineStr">
        <is>
          <t>N2K SPA</t>
        </is>
      </c>
    </row>
    <row r="72">
      <c r="A72" t="inlineStr">
        <is>
          <t>RO7BV_511</t>
        </is>
      </c>
      <c r="B72" t="inlineStr">
        <is>
          <t>ROWP SC COMPANIA APA SA Brasov</t>
        </is>
      </c>
      <c r="C72" t="inlineStr">
        <is>
          <t>&gt; 5000</t>
        </is>
      </c>
      <c r="D72" t="n">
        <v>88.52373595235751</v>
      </c>
      <c r="E72" t="n">
        <v>2871.316785297826</v>
      </c>
      <c r="F72" t="inlineStr">
        <is>
          <t>NATDA RO10 notAssigned</t>
        </is>
      </c>
    </row>
    <row r="73">
      <c r="A73" t="inlineStr">
        <is>
          <t>ATTP_5-A1699622R154</t>
        </is>
      </c>
      <c r="B73" t="inlineStr">
        <is>
          <t>ARA Siggerwiesen</t>
        </is>
      </c>
      <c r="C73" t="n">
        <v>2940.716791237592</v>
      </c>
      <c r="D73" t="n">
        <v>291.1583675012742</v>
      </c>
      <c r="E73" t="n">
        <v>147.0956365230777</v>
      </c>
      <c r="F73" t="inlineStr">
        <is>
          <t>N2K SAC/SCI</t>
        </is>
      </c>
    </row>
    <row r="74">
      <c r="A74" t="inlineStr">
        <is>
          <t>ES10030140002012E</t>
        </is>
      </c>
      <c r="B74" t="inlineStr">
        <is>
          <t>RINCON DE LEON</t>
        </is>
      </c>
      <c r="C74" t="inlineStr">
        <is>
          <t>&gt; 5000</t>
        </is>
      </c>
      <c r="D74" t="n">
        <v>365.4113026666086</v>
      </c>
      <c r="E74" t="n">
        <v>1305.947883199072</v>
      </c>
      <c r="F74" t="inlineStr">
        <is>
          <t>N2K</t>
        </is>
      </c>
    </row>
    <row r="75">
      <c r="A75" t="inlineStr">
        <is>
          <t>DETP_BW1115100000001</t>
        </is>
      </c>
      <c r="B75" t="inlineStr">
        <is>
          <t>Hauptklärwerk Mühlhausen</t>
        </is>
      </c>
      <c r="C75" t="inlineStr">
        <is>
          <t>&gt; 5000</t>
        </is>
      </c>
      <c r="D75" t="n">
        <v>0</v>
      </c>
      <c r="E75" t="n">
        <v>0</v>
      </c>
      <c r="F75" t="inlineStr">
        <is>
          <t>NATDA DE07 V</t>
        </is>
      </c>
    </row>
    <row r="76">
      <c r="A76" t="inlineStr">
        <is>
          <t>DETP_NI201000201</t>
        </is>
      </c>
      <c r="B76" t="inlineStr">
        <is>
          <t>2530002102 KA Herrenhausen</t>
        </is>
      </c>
      <c r="C76" t="inlineStr">
        <is>
          <t>&gt; 5000</t>
        </is>
      </c>
      <c r="D76" t="n">
        <v>19.71324916863743</v>
      </c>
      <c r="E76" t="n">
        <v>0</v>
      </c>
      <c r="F76" t="inlineStr">
        <is>
          <t>NATDA DE07 V</t>
        </is>
      </c>
    </row>
    <row r="77">
      <c r="A77" t="inlineStr">
        <is>
          <t>FR037649801000</t>
        </is>
      </c>
      <c r="B77" t="inlineStr">
        <is>
          <t>ROUEN</t>
        </is>
      </c>
      <c r="C77" t="n">
        <v>0</v>
      </c>
      <c r="D77" t="n">
        <v>268.557002042763</v>
      </c>
      <c r="E77" t="n">
        <v>617.5866821793026</v>
      </c>
      <c r="F77" t="inlineStr">
        <is>
          <t>NATDA FR15 V</t>
        </is>
      </c>
    </row>
    <row r="78">
      <c r="A78" t="inlineStr">
        <is>
          <t>UKENTH_TWU_TP000014</t>
        </is>
      </c>
      <c r="B78" t="inlineStr">
        <is>
          <t>LONDON (Becton STW)</t>
        </is>
      </c>
      <c r="C78" t="inlineStr">
        <is>
          <t>&gt; 5000</t>
        </is>
      </c>
      <c r="D78" t="n">
        <v>155.8995353166283</v>
      </c>
      <c r="E78" t="inlineStr">
        <is>
          <t>&gt; 5000</t>
        </is>
      </c>
      <c r="F78" t="inlineStr">
        <is>
          <t>N2K SPA</t>
        </is>
      </c>
    </row>
    <row r="79">
      <c r="A79" t="inlineStr">
        <is>
          <t>DETP_SH56027</t>
        </is>
      </c>
      <c r="B79" t="inlineStr">
        <is>
          <t>Hetlingen</t>
        </is>
      </c>
      <c r="C79" t="inlineStr">
        <is>
          <t>&gt; 5000</t>
        </is>
      </c>
      <c r="D79" t="n">
        <v>718.109017036559</v>
      </c>
      <c r="E79" t="n">
        <v>0</v>
      </c>
      <c r="F79" t="inlineStr">
        <is>
          <t>N2K SAC/SCI</t>
        </is>
      </c>
    </row>
    <row r="80">
      <c r="A80" t="inlineStr">
        <is>
          <t>ES9082110001010E</t>
        </is>
      </c>
      <c r="B80" t="inlineStr">
        <is>
          <t>SANT FELIU DE LLOBREGAT</t>
        </is>
      </c>
      <c r="C80" t="inlineStr">
        <is>
          <t>&gt; 5000</t>
        </is>
      </c>
      <c r="D80" t="n">
        <v>340.9646786266306</v>
      </c>
      <c r="E80" t="n">
        <v>1452.534138005539</v>
      </c>
      <c r="F80" t="inlineStr">
        <is>
          <t>N2K SAC/SCI</t>
        </is>
      </c>
    </row>
    <row r="81">
      <c r="A81" t="inlineStr">
        <is>
          <t>ES1410910002013E</t>
        </is>
      </c>
      <c r="B81" t="inlineStr">
        <is>
          <t>LA RANILLA</t>
        </is>
      </c>
      <c r="C81" t="inlineStr">
        <is>
          <t>&gt; 5000</t>
        </is>
      </c>
      <c r="D81" t="n">
        <v>510.0086060464821</v>
      </c>
      <c r="E81" t="n">
        <v>4908.34691716439</v>
      </c>
      <c r="F81" t="inlineStr">
        <is>
          <t>NATDA ES19 III</t>
        </is>
      </c>
    </row>
    <row r="82">
      <c r="A82" t="inlineStr">
        <is>
          <t>ATTP_3-11</t>
        </is>
      </c>
      <c r="B82" t="inlineStr">
        <is>
          <t>ARA AWV Schwechat</t>
        </is>
      </c>
      <c r="C82" t="inlineStr">
        <is>
          <t>&gt; 5000</t>
        </is>
      </c>
      <c r="D82" t="n">
        <v>1104.480307609177</v>
      </c>
      <c r="E82" t="n">
        <v>0</v>
      </c>
      <c r="F82" t="inlineStr">
        <is>
          <t>NATDA AT04 V</t>
        </is>
      </c>
    </row>
    <row r="83">
      <c r="A83" t="inlineStr">
        <is>
          <t>EL300001011</t>
        </is>
      </c>
      <c r="B83" t="inlineStr">
        <is>
          <t>PSYTTALIA</t>
        </is>
      </c>
      <c r="C83" t="inlineStr">
        <is>
          <t>&gt; 5000</t>
        </is>
      </c>
      <c r="D83" t="n">
        <v>1698.559402735127</v>
      </c>
      <c r="E83" t="inlineStr">
        <is>
          <t>&gt; 5000</t>
        </is>
      </c>
      <c r="F83" t="inlineStr">
        <is>
          <t>NATDA EL95 IV</t>
        </is>
      </c>
    </row>
    <row r="84">
      <c r="A84" t="inlineStr">
        <is>
          <t>BERW6207901</t>
        </is>
      </c>
      <c r="B84" t="inlineStr">
        <is>
          <t>LIEGE OUPEYE</t>
        </is>
      </c>
      <c r="C84" t="inlineStr">
        <is>
          <t>&gt; 5000</t>
        </is>
      </c>
      <c r="D84" t="n">
        <v>0.4427399193329135</v>
      </c>
      <c r="E84" t="n">
        <v>1374.511766308779</v>
      </c>
      <c r="F84" t="inlineStr">
        <is>
          <t>N2K</t>
        </is>
      </c>
    </row>
    <row r="85">
      <c r="A85" t="inlineStr">
        <is>
          <t>DETP_NW35</t>
        </is>
      </c>
      <c r="B85" t="inlineStr">
        <is>
          <t>Düren</t>
        </is>
      </c>
      <c r="C85" t="inlineStr">
        <is>
          <t>&gt; 5000</t>
        </is>
      </c>
      <c r="D85" t="n">
        <v>369.4829980840458</v>
      </c>
      <c r="E85" t="n">
        <v>0</v>
      </c>
      <c r="F85" t="inlineStr">
        <is>
          <t>NATDA DE07 V</t>
        </is>
      </c>
    </row>
    <row r="86">
      <c r="A86" t="inlineStr">
        <is>
          <t>IETP_D0034</t>
        </is>
      </c>
      <c r="B86" t="inlineStr">
        <is>
          <t>Ringsend</t>
        </is>
      </c>
      <c r="C86" t="inlineStr">
        <is>
          <t>&gt; 5000</t>
        </is>
      </c>
      <c r="D86" t="n">
        <v>0</v>
      </c>
      <c r="E86" t="n">
        <v>0</v>
      </c>
      <c r="F86" t="inlineStr">
        <is>
          <t>N2K SAC/SCI</t>
        </is>
      </c>
    </row>
    <row r="87">
      <c r="A87" t="inlineStr">
        <is>
          <t>UKENAN_AW_TP000308</t>
        </is>
      </c>
      <c r="B87" t="inlineStr">
        <is>
          <t>TILBURY STW, TILBURY, ESSEX"</t>
        </is>
      </c>
      <c r="C87" t="inlineStr">
        <is>
          <t>&gt; 5000</t>
        </is>
      </c>
      <c r="D87" t="n">
        <v>395.5448553033636</v>
      </c>
      <c r="E87" t="inlineStr">
        <is>
          <t>&gt; 5000</t>
        </is>
      </c>
      <c r="F87" t="inlineStr">
        <is>
          <t>N2K SPA</t>
        </is>
      </c>
    </row>
    <row r="88">
      <c r="A88" t="inlineStr">
        <is>
          <t>DETP_NW316</t>
        </is>
      </c>
      <c r="B88" t="inlineStr">
        <is>
          <t>Abwasserverband Obere Lutter</t>
        </is>
      </c>
      <c r="C88" t="inlineStr">
        <is>
          <t>&gt; 5000</t>
        </is>
      </c>
      <c r="D88" t="n">
        <v>0</v>
      </c>
      <c r="E88" t="n">
        <v>2024.220874593922</v>
      </c>
      <c r="F88" t="inlineStr">
        <is>
          <t>NATDA DE02 IV</t>
        </is>
      </c>
    </row>
    <row r="89">
      <c r="A89" t="inlineStr">
        <is>
          <t>FR026751900405</t>
        </is>
      </c>
      <c r="B89" t="inlineStr">
        <is>
          <t>STRASBOURG - LA WANTZENAU</t>
        </is>
      </c>
      <c r="C89" t="n">
        <v>0</v>
      </c>
      <c r="D89" t="n">
        <v>632.2910491208604</v>
      </c>
      <c r="E89" t="n">
        <v>0</v>
      </c>
      <c r="F89" t="inlineStr">
        <is>
          <t>NATDA FR17 IV</t>
        </is>
      </c>
    </row>
    <row r="90">
      <c r="A90" t="inlineStr">
        <is>
          <t>PLZA0011</t>
        </is>
      </c>
      <c r="B90" t="inlineStr">
        <is>
          <t>Pomorzany</t>
        </is>
      </c>
      <c r="C90" t="inlineStr">
        <is>
          <t>&gt; 5000</t>
        </is>
      </c>
      <c r="D90" t="n">
        <v>9.784179312752787</v>
      </c>
      <c r="E90" t="n">
        <v>1524.940692066513</v>
      </c>
      <c r="F90" t="inlineStr">
        <is>
          <t>N2K SPA</t>
        </is>
      </c>
    </row>
    <row r="91">
      <c r="A91" t="inlineStr">
        <is>
          <t>DETP_NW1204</t>
        </is>
      </c>
      <c r="B91" t="inlineStr">
        <is>
          <t>Dortmund-Deusen</t>
        </is>
      </c>
      <c r="C91" t="inlineStr">
        <is>
          <t>&gt; 5000</t>
        </is>
      </c>
      <c r="D91" t="n">
        <v>5.589260614000194</v>
      </c>
      <c r="E91" t="n">
        <v>129.3000682095505</v>
      </c>
      <c r="F91" t="inlineStr">
        <is>
          <t>NATDA DE07 V</t>
        </is>
      </c>
    </row>
    <row r="92">
      <c r="A92" t="inlineStr">
        <is>
          <t>IT19CT00G7001DE001</t>
        </is>
      </c>
      <c r="B92" t="inlineStr">
        <is>
          <t>Impianto_Consortile_Di_Catania</t>
        </is>
      </c>
      <c r="C92" t="n">
        <v>0</v>
      </c>
      <c r="D92" t="n">
        <v>983.3551815062224</v>
      </c>
      <c r="E92" t="n">
        <v>1869.317574946284</v>
      </c>
      <c r="F92" t="inlineStr">
        <is>
          <t>NATDA IT05 IV</t>
        </is>
      </c>
    </row>
    <row r="93">
      <c r="A93" t="inlineStr">
        <is>
          <t>FR060934172001</t>
        </is>
      </c>
      <c r="B93" t="inlineStr">
        <is>
          <t>MAERA (EX CEREIREDE)</t>
        </is>
      </c>
      <c r="C93" t="n">
        <v>0</v>
      </c>
      <c r="D93" t="n">
        <v>0</v>
      </c>
      <c r="E93" t="n">
        <v>1849.853192176838</v>
      </c>
      <c r="F93" t="inlineStr">
        <is>
          <t>N2K SPA</t>
        </is>
      </c>
    </row>
    <row r="94">
      <c r="A94" t="inlineStr">
        <is>
          <t>NL11014</t>
        </is>
      </c>
      <c r="B94" t="inlineStr">
        <is>
          <t>UWWTP AMSTERDAM-WEST</t>
        </is>
      </c>
      <c r="C94" t="inlineStr">
        <is>
          <t>&gt; 5000</t>
        </is>
      </c>
      <c r="D94" t="n">
        <v>54.37037026165307</v>
      </c>
      <c r="E94" t="n">
        <v>4154.842615911316</v>
      </c>
      <c r="F94" t="inlineStr">
        <is>
          <t>N2K SAC/SCI</t>
        </is>
      </c>
    </row>
    <row r="95">
      <c r="A95" t="inlineStr">
        <is>
          <t>ES7240890002010E</t>
        </is>
      </c>
      <c r="B95" t="inlineStr">
        <is>
          <t>LEON</t>
        </is>
      </c>
      <c r="C95" t="inlineStr">
        <is>
          <t>&gt; 5000</t>
        </is>
      </c>
      <c r="D95" t="n">
        <v>404.6729971207738</v>
      </c>
      <c r="E95" t="inlineStr">
        <is>
          <t>&gt; 5000</t>
        </is>
      </c>
      <c r="F95" t="inlineStr">
        <is>
          <t>N2K SPA</t>
        </is>
      </c>
    </row>
    <row r="96">
      <c r="A96" t="inlineStr">
        <is>
          <t>RO5TM_528</t>
        </is>
      </c>
      <c r="B96" t="inlineStr">
        <is>
          <t>ROWP RA Aquatim Timisoara</t>
        </is>
      </c>
      <c r="C96" t="inlineStr">
        <is>
          <t>&gt; 5000</t>
        </is>
      </c>
      <c r="D96" t="n">
        <v>411.9786286611867</v>
      </c>
      <c r="E96" t="inlineStr">
        <is>
          <t>&gt; 5000</t>
        </is>
      </c>
      <c r="F96" t="inlineStr">
        <is>
          <t>N2K SAC/SCI</t>
        </is>
      </c>
    </row>
    <row r="97">
      <c r="A97" t="inlineStr">
        <is>
          <t>FR0531555V018</t>
        </is>
      </c>
      <c r="B97" t="inlineStr">
        <is>
          <t>TOULOUSE GINESTOUS</t>
        </is>
      </c>
      <c r="C97" t="n">
        <v>0</v>
      </c>
      <c r="D97" t="n">
        <v>65.83139909711768</v>
      </c>
      <c r="E97" t="n">
        <v>897.4581718073276</v>
      </c>
      <c r="F97" t="inlineStr">
        <is>
          <t>N2K SAC/SCI</t>
        </is>
      </c>
    </row>
    <row r="98">
      <c r="A98" t="inlineStr">
        <is>
          <t>ES10462501014011E</t>
        </is>
      </c>
      <c r="B98" t="inlineStr">
        <is>
          <t>PINEDO 1</t>
        </is>
      </c>
      <c r="C98" t="inlineStr">
        <is>
          <t>&gt; 5000</t>
        </is>
      </c>
      <c r="D98" t="n">
        <v>431.8575078331451</v>
      </c>
      <c r="E98" t="n">
        <v>304.0776002216616</v>
      </c>
      <c r="F98" t="inlineStr">
        <is>
          <t>NATDA ES10 II</t>
        </is>
      </c>
    </row>
    <row r="99">
      <c r="A99" t="inlineStr">
        <is>
          <t>IT09RT0017</t>
        </is>
      </c>
      <c r="B99" t="inlineStr">
        <is>
          <t>Idl_San_Colombano</t>
        </is>
      </c>
      <c r="C99" t="n">
        <v>4457.547955819488</v>
      </c>
      <c r="D99" t="n">
        <v>149.9974141714384</v>
      </c>
      <c r="E99" t="n">
        <v>3105.238981700555</v>
      </c>
      <c r="F99" t="inlineStr">
        <is>
          <t>N2K</t>
        </is>
      </c>
    </row>
    <row r="100">
      <c r="A100" t="inlineStr">
        <is>
          <t>ES10030140002011E</t>
        </is>
      </c>
      <c r="B100" t="inlineStr">
        <is>
          <t>MONTE ORGEGIA</t>
        </is>
      </c>
      <c r="C100" t="inlineStr">
        <is>
          <t>&gt; 5000</t>
        </is>
      </c>
      <c r="D100" t="n">
        <v>0</v>
      </c>
      <c r="E100" t="n">
        <v>3877.906896071986</v>
      </c>
      <c r="F100" t="inlineStr">
        <is>
          <t>N2K SAC/SCI</t>
        </is>
      </c>
    </row>
    <row r="101">
      <c r="A101" t="inlineStr">
        <is>
          <t>DETP_NW601</t>
        </is>
      </c>
      <c r="B101" t="inlineStr">
        <is>
          <t>Düsseldorf-Süd</t>
        </is>
      </c>
      <c r="C101" t="inlineStr">
        <is>
          <t>&gt; 5000</t>
        </is>
      </c>
      <c r="D101" t="n">
        <v>22.30330417083017</v>
      </c>
      <c r="E101" t="n">
        <v>0</v>
      </c>
      <c r="F101" t="inlineStr">
        <is>
          <t>NATDA DE07 V</t>
        </is>
      </c>
    </row>
    <row r="102">
      <c r="A102" t="inlineStr">
        <is>
          <t>EL122001013</t>
        </is>
      </c>
      <c r="B102" t="inlineStr">
        <is>
          <t>THESSALONIKI</t>
        </is>
      </c>
      <c r="C102" t="inlineStr">
        <is>
          <t>&gt; 5000</t>
        </is>
      </c>
      <c r="D102" t="n">
        <v>589.4217972870848</v>
      </c>
      <c r="E102" t="n">
        <v>0</v>
      </c>
      <c r="F102" t="inlineStr">
        <is>
          <t>N2K SPA</t>
        </is>
      </c>
    </row>
    <row r="103">
      <c r="A103" t="inlineStr">
        <is>
          <t>DETP_NW2104</t>
        </is>
      </c>
      <c r="B103" t="inlineStr">
        <is>
          <t>Mönchengladbach GWK I</t>
        </is>
      </c>
      <c r="C103" t="inlineStr">
        <is>
          <t>&gt; 5000</t>
        </is>
      </c>
      <c r="D103" t="n">
        <v>90.55845395594496</v>
      </c>
      <c r="E103" t="n">
        <v>0</v>
      </c>
      <c r="F103" t="inlineStr">
        <is>
          <t>NATDA DE07 V</t>
        </is>
      </c>
    </row>
    <row r="104">
      <c r="A104" t="inlineStr">
        <is>
          <t>DK6070012</t>
        </is>
      </c>
      <c r="B104" t="inlineStr">
        <is>
          <t>FREDERICIA CENTRALRENS.</t>
        </is>
      </c>
      <c r="C104" t="inlineStr">
        <is>
          <t>&gt; 5000</t>
        </is>
      </c>
      <c r="D104" t="n">
        <v>6.371947825044085</v>
      </c>
      <c r="E104" t="n">
        <v>4007.255004760566</v>
      </c>
      <c r="F104" t="inlineStr">
        <is>
          <t>NATDA DK01 IV</t>
        </is>
      </c>
    </row>
    <row r="105">
      <c r="A105" t="inlineStr">
        <is>
          <t>UKENTH_TWU_TP000054</t>
        </is>
      </c>
      <c r="B105" t="inlineStr">
        <is>
          <t>LONDON (Deepham STW)</t>
        </is>
      </c>
      <c r="C105" t="inlineStr">
        <is>
          <t>&gt; 5000</t>
        </is>
      </c>
      <c r="D105" t="n">
        <v>224.7575514457615</v>
      </c>
      <c r="E105" t="n">
        <v>3858.459477612997</v>
      </c>
      <c r="F105" t="inlineStr">
        <is>
          <t>N2K SPA</t>
        </is>
      </c>
    </row>
    <row r="106">
      <c r="A106" t="inlineStr">
        <is>
          <t>ES3330242402020E</t>
        </is>
      </c>
      <c r="B106" t="inlineStr">
        <is>
          <t>GIJON OESTE</t>
        </is>
      </c>
      <c r="C106" t="inlineStr">
        <is>
          <t>&gt; 5000</t>
        </is>
      </c>
      <c r="D106" t="n">
        <v>349.9159859556731</v>
      </c>
      <c r="E106" t="inlineStr">
        <is>
          <t>&gt; 5000</t>
        </is>
      </c>
      <c r="F106" t="inlineStr">
        <is>
          <t>N2K SPA</t>
        </is>
      </c>
    </row>
    <row r="107">
      <c r="A107" t="inlineStr">
        <is>
          <t>FR037800501000</t>
        </is>
      </c>
      <c r="B107" t="inlineStr">
        <is>
          <t>PARIS SEINE AVAL</t>
        </is>
      </c>
      <c r="C107" t="n">
        <v>0</v>
      </c>
      <c r="D107" t="n">
        <v>0</v>
      </c>
      <c r="E107" t="inlineStr">
        <is>
          <t>&gt; 5000</t>
        </is>
      </c>
      <c r="F107" t="inlineStr">
        <is>
          <t>NATDA FR15 V</t>
        </is>
      </c>
    </row>
    <row r="108">
      <c r="A108" t="inlineStr">
        <is>
          <t>CZ4205-763691-26161516-4/1U</t>
        </is>
      </c>
      <c r="B108" t="inlineStr">
        <is>
          <t>COV Steti -Papirny Mondi</t>
        </is>
      </c>
      <c r="C108" t="inlineStr">
        <is>
          <t>&gt; 5000</t>
        </is>
      </c>
      <c r="D108" t="n">
        <v>707.1796752246121</v>
      </c>
      <c r="E108" t="n">
        <v>502.7241280635398</v>
      </c>
      <c r="F108" t="inlineStr">
        <is>
          <t>NATDA CZ04 III</t>
        </is>
      </c>
    </row>
    <row r="109">
      <c r="A109" t="inlineStr">
        <is>
          <t>PLLE0010</t>
        </is>
      </c>
      <c r="B109" t="inlineStr">
        <is>
          <t>Lublin-Hajdów</t>
        </is>
      </c>
      <c r="C109" t="n">
        <v>2849.461514876864</v>
      </c>
      <c r="D109" t="n">
        <v>5.803087006611235</v>
      </c>
      <c r="E109" t="n">
        <v>1549.482126323739</v>
      </c>
      <c r="F109" t="inlineStr">
        <is>
          <t>N2K SAC/SCI</t>
        </is>
      </c>
    </row>
    <row r="110">
      <c r="A110" t="inlineStr">
        <is>
          <t>LV100175</t>
        </is>
      </c>
      <c r="B110" t="inlineStr">
        <is>
          <t>BAI "Daugavgrīva"</t>
        </is>
      </c>
      <c r="C110" t="n">
        <v>0</v>
      </c>
      <c r="D110" t="n">
        <v>166.3238175859054</v>
      </c>
      <c r="E110" t="n">
        <v>507.1460897845748</v>
      </c>
      <c r="F110" t="inlineStr">
        <is>
          <t>NATDA LV04 III</t>
        </is>
      </c>
    </row>
    <row r="111">
      <c r="A111" t="inlineStr">
        <is>
          <t>UKENNW_UU_TP000133</t>
        </is>
      </c>
      <c r="B111" t="inlineStr">
        <is>
          <t>WIGAN (HOSCAR) STW</t>
        </is>
      </c>
      <c r="C111" t="inlineStr">
        <is>
          <t>&gt; 5000</t>
        </is>
      </c>
      <c r="D111" t="n">
        <v>351.7462128787864</v>
      </c>
      <c r="E111" t="inlineStr">
        <is>
          <t>&gt; 5000</t>
        </is>
      </c>
      <c r="F111" t="inlineStr">
        <is>
          <t>N2K SPA</t>
        </is>
      </c>
    </row>
    <row r="112">
      <c r="A112" t="inlineStr">
        <is>
          <t>ES6390850005010E</t>
        </is>
      </c>
      <c r="B112" t="inlineStr">
        <is>
          <t>VUELTA OSTRERA</t>
        </is>
      </c>
      <c r="C112" t="inlineStr">
        <is>
          <t>&gt; 5000</t>
        </is>
      </c>
      <c r="D112" t="n">
        <v>473.8836135426301</v>
      </c>
      <c r="E112" t="n">
        <v>2791.195803509646</v>
      </c>
      <c r="F112" t="inlineStr">
        <is>
          <t>NATDA ES35 V</t>
        </is>
      </c>
    </row>
    <row r="113">
      <c r="A113" t="inlineStr">
        <is>
          <t>IT15Q15000000002</t>
        </is>
      </c>
      <c r="B113" t="inlineStr">
        <is>
          <t>Orta_Di_Atella_Ce_Impianto_Napoli_Nord</t>
        </is>
      </c>
      <c r="C113" t="inlineStr">
        <is>
          <t>&gt; 5000</t>
        </is>
      </c>
      <c r="D113" t="n">
        <v>722.070321039865</v>
      </c>
      <c r="E113" t="inlineStr">
        <is>
          <t>&gt; 5000</t>
        </is>
      </c>
      <c r="F113" t="inlineStr">
        <is>
          <t>N2K SAC/SCI</t>
        </is>
      </c>
    </row>
    <row r="114">
      <c r="A114" t="inlineStr">
        <is>
          <t>FR060969152001</t>
        </is>
      </c>
      <c r="B114" t="inlineStr">
        <is>
          <t>LYON - PIERRE BÉNITE</t>
        </is>
      </c>
      <c r="C114" t="n">
        <v>0</v>
      </c>
      <c r="D114" t="n">
        <v>141.3797324805157</v>
      </c>
      <c r="E114" t="inlineStr">
        <is>
          <t>&gt; 5000</t>
        </is>
      </c>
      <c r="F114" t="inlineStr">
        <is>
          <t>NATDA FR05 IV</t>
        </is>
      </c>
    </row>
    <row r="115">
      <c r="A115" t="inlineStr">
        <is>
          <t>IT15Q15000000001</t>
        </is>
      </c>
      <c r="B115" t="inlineStr">
        <is>
          <t>Caivano_Depuratore_Di_Acerra</t>
        </is>
      </c>
      <c r="C115" t="inlineStr">
        <is>
          <t>&gt; 5000</t>
        </is>
      </c>
      <c r="D115" t="n">
        <v>408.7316814581731</v>
      </c>
      <c r="E115" t="inlineStr">
        <is>
          <t>&gt; 5000</t>
        </is>
      </c>
      <c r="F115" t="inlineStr">
        <is>
          <t>NATDA IT04 IV</t>
        </is>
      </c>
    </row>
    <row r="116">
      <c r="A116" t="inlineStr">
        <is>
          <t>CZ6203-697931-46347275-4/1U</t>
        </is>
      </c>
      <c r="B116" t="inlineStr">
        <is>
          <t>COV Brno - Modrice</t>
        </is>
      </c>
      <c r="C116" t="inlineStr">
        <is>
          <t>&gt; 5000</t>
        </is>
      </c>
      <c r="D116" t="n">
        <v>319.9748118592991</v>
      </c>
      <c r="E116" t="n">
        <v>69.16343831124411</v>
      </c>
      <c r="F116" t="inlineStr">
        <is>
          <t>N2K SAC/SCI</t>
        </is>
      </c>
    </row>
    <row r="117">
      <c r="A117" t="inlineStr">
        <is>
          <t>RO1IS_51</t>
        </is>
      </c>
      <c r="B117" t="inlineStr">
        <is>
          <t>ROWP DANCU IASI</t>
        </is>
      </c>
      <c r="C117" t="inlineStr">
        <is>
          <t>&gt; 5000</t>
        </is>
      </c>
      <c r="D117" t="n">
        <v>0</v>
      </c>
      <c r="E117" t="n">
        <v>868.2938474291196</v>
      </c>
      <c r="F117" t="inlineStr">
        <is>
          <t>NATDA RO10 notAssigned</t>
        </is>
      </c>
    </row>
    <row r="118">
      <c r="A118" t="inlineStr">
        <is>
          <t>DETP_BYAB-K0033</t>
        </is>
      </c>
      <c r="B118" t="inlineStr">
        <is>
          <t>Würzburg</t>
        </is>
      </c>
      <c r="C118" t="inlineStr">
        <is>
          <t>&gt; 5000</t>
        </is>
      </c>
      <c r="D118" t="n">
        <v>0</v>
      </c>
      <c r="E118" t="n">
        <v>1149.186506412142</v>
      </c>
      <c r="F118" t="inlineStr">
        <is>
          <t>N2K SAC/SCI</t>
        </is>
      </c>
    </row>
    <row r="119">
      <c r="A119" t="inlineStr">
        <is>
          <t>HU-WWTP-AIA512</t>
        </is>
      </c>
      <c r="B119" t="inlineStr">
        <is>
          <t>Debrecen - Szennyviztisztito Telep</t>
        </is>
      </c>
      <c r="C119" t="inlineStr">
        <is>
          <t>&gt; 5000</t>
        </is>
      </c>
      <c r="D119" t="n">
        <v>79.07512035701711</v>
      </c>
      <c r="E119" t="inlineStr">
        <is>
          <t>&gt; 5000</t>
        </is>
      </c>
      <c r="F119" t="inlineStr">
        <is>
          <t>N2K SAC/SCI</t>
        </is>
      </c>
    </row>
    <row r="120">
      <c r="A120" t="inlineStr">
        <is>
          <t>DETP_BW1215100000017</t>
        </is>
      </c>
      <c r="B120" t="inlineStr">
        <is>
          <t>SKA Heilbronn</t>
        </is>
      </c>
      <c r="C120" t="n">
        <v>114.9056038183163</v>
      </c>
      <c r="D120" t="n">
        <v>92.5815616488445</v>
      </c>
      <c r="E120" t="n">
        <v>845.5765562761752</v>
      </c>
      <c r="F120" t="inlineStr">
        <is>
          <t>NATDA DE07 V</t>
        </is>
      </c>
    </row>
    <row r="121">
      <c r="A121" t="inlineStr">
        <is>
          <t>ES1110200014010E</t>
        </is>
      </c>
      <c r="B121" t="inlineStr">
        <is>
          <t>GUADALETE</t>
        </is>
      </c>
      <c r="C121" t="inlineStr">
        <is>
          <t>&gt; 5000</t>
        </is>
      </c>
      <c r="D121" t="n">
        <v>277.8493008367985</v>
      </c>
      <c r="E121" t="n">
        <v>3457.535279757214</v>
      </c>
      <c r="F121" t="inlineStr">
        <is>
          <t>N2K SAC/SCI</t>
        </is>
      </c>
    </row>
    <row r="122">
      <c r="A122" t="inlineStr">
        <is>
          <t>PLWL1330</t>
        </is>
      </c>
      <c r="B122" t="inlineStr">
        <is>
          <t>Dopiewo</t>
        </is>
      </c>
      <c r="C122" t="n">
        <v>2675.499143219771</v>
      </c>
      <c r="D122" t="n">
        <v>884.1894450996591</v>
      </c>
      <c r="E122" t="n">
        <v>2035.422861332203</v>
      </c>
      <c r="F122" t="inlineStr">
        <is>
          <t>N2K SAC/SCI</t>
        </is>
      </c>
    </row>
    <row r="123">
      <c r="A123" t="inlineStr">
        <is>
          <t>DETP_NW2101</t>
        </is>
      </c>
      <c r="B123" t="inlineStr">
        <is>
          <t>Düsseldorf-Nord</t>
        </is>
      </c>
      <c r="C123" t="inlineStr">
        <is>
          <t>&gt; 5000</t>
        </is>
      </c>
      <c r="D123" t="n">
        <v>302.9670455362731</v>
      </c>
      <c r="E123" t="n">
        <v>0</v>
      </c>
      <c r="F123" t="inlineStr">
        <is>
          <t>NATDA DE02 IV</t>
        </is>
      </c>
    </row>
    <row r="124">
      <c r="A124" t="inlineStr">
        <is>
          <t>IT01000000000043</t>
        </is>
      </c>
      <c r="B124" t="inlineStr">
        <is>
          <t>Castiglione</t>
        </is>
      </c>
      <c r="C124" t="n">
        <v>0</v>
      </c>
      <c r="D124" t="n">
        <v>701.4211546814264</v>
      </c>
      <c r="E124" t="n">
        <v>4131.951946578386</v>
      </c>
      <c r="F124" t="inlineStr">
        <is>
          <t>N2K SPA</t>
        </is>
      </c>
    </row>
    <row r="125">
      <c r="A125" t="inlineStr">
        <is>
          <t>FR037862401000</t>
        </is>
      </c>
      <c r="B125" t="inlineStr">
        <is>
          <t>PARIS SEINE GRÉSILLONS</t>
        </is>
      </c>
      <c r="C125" t="n">
        <v>0</v>
      </c>
      <c r="D125" t="n">
        <v>456.8481521357197</v>
      </c>
      <c r="E125" t="n">
        <v>4914.865469418444</v>
      </c>
      <c r="F125" t="inlineStr">
        <is>
          <t>NATDA FR15 V</t>
        </is>
      </c>
    </row>
    <row r="126">
      <c r="A126" t="inlineStr">
        <is>
          <t>DETP_NW3008</t>
        </is>
      </c>
      <c r="B126" t="inlineStr">
        <is>
          <t>Münster-Hauptkläranlage</t>
        </is>
      </c>
      <c r="C126" t="inlineStr">
        <is>
          <t>&gt; 5000</t>
        </is>
      </c>
      <c r="D126" t="n">
        <v>282.7189670707664</v>
      </c>
      <c r="E126" t="n">
        <v>198.612018719142</v>
      </c>
      <c r="F126" t="inlineStr">
        <is>
          <t>N2K SPA</t>
        </is>
      </c>
    </row>
    <row r="127">
      <c r="A127" t="inlineStr">
        <is>
          <t>DETP_NW2138</t>
        </is>
      </c>
      <c r="B127" t="inlineStr">
        <is>
          <t>Neuss-Ost</t>
        </is>
      </c>
      <c r="C127" t="inlineStr">
        <is>
          <t>&gt; 5000</t>
        </is>
      </c>
      <c r="D127" t="n">
        <v>29.53843584248444</v>
      </c>
      <c r="E127" t="n">
        <v>0</v>
      </c>
      <c r="F127" t="inlineStr">
        <is>
          <t>NATDA DE07 V</t>
        </is>
      </c>
    </row>
    <row r="128">
      <c r="A128" t="inlineStr">
        <is>
          <t>ES6390750005010E</t>
        </is>
      </c>
      <c r="B128" t="inlineStr">
        <is>
          <t>SAN ROMÁN</t>
        </is>
      </c>
      <c r="C128" t="inlineStr">
        <is>
          <t>&gt; 5000</t>
        </is>
      </c>
      <c r="D128" t="n">
        <v>0.7117779834919672</v>
      </c>
      <c r="E128" t="n">
        <v>2019.340341914704</v>
      </c>
      <c r="F128" t="inlineStr">
        <is>
          <t>N2K SAC/SCI</t>
        </is>
      </c>
    </row>
    <row r="129">
      <c r="A129" t="inlineStr">
        <is>
          <t>UKENTH_TWU_TP000052</t>
        </is>
      </c>
      <c r="B129" t="inlineStr">
        <is>
          <t>LONDON (Crossness STW)</t>
        </is>
      </c>
      <c r="C129" t="inlineStr">
        <is>
          <t>&gt; 5000</t>
        </is>
      </c>
      <c r="D129" t="n">
        <v>0</v>
      </c>
      <c r="E129" t="inlineStr">
        <is>
          <t>&gt; 5000</t>
        </is>
      </c>
      <c r="F129" t="inlineStr">
        <is>
          <t>N2K SAC/SCI</t>
        </is>
      </c>
    </row>
    <row r="130">
      <c r="A130" t="inlineStr">
        <is>
          <t>IT19SR00G7002DE001</t>
        </is>
      </c>
      <c r="B130" t="inlineStr">
        <is>
          <t>Impianto_C_Da_Magnisi_Casale_Vecchie_Saline_Depuratore_Ias_Priolo</t>
        </is>
      </c>
      <c r="C130" t="n">
        <v>89.30037895707743</v>
      </c>
      <c r="D130" t="n">
        <v>14.78163766778737</v>
      </c>
      <c r="E130" t="n">
        <v>0</v>
      </c>
      <c r="F130" t="inlineStr">
        <is>
          <t>NATDA IT05 IV</t>
        </is>
      </c>
    </row>
    <row r="131">
      <c r="A131" t="inlineStr">
        <is>
          <t>PLDO0011</t>
        </is>
      </c>
      <c r="B131" t="inlineStr">
        <is>
          <t>Wrocławska Oczyszczalnia Ścieków</t>
        </is>
      </c>
      <c r="C131" t="n">
        <v>328.7358583768529</v>
      </c>
      <c r="D131" t="n">
        <v>258.3113979541628</v>
      </c>
      <c r="E131" t="n">
        <v>6.690137342731019</v>
      </c>
      <c r="F131" t="inlineStr">
        <is>
          <t>N2K SAC/SCI</t>
        </is>
      </c>
    </row>
    <row r="132">
      <c r="A132" t="inlineStr">
        <is>
          <t>ES9082790004050E</t>
        </is>
      </c>
      <c r="B132" t="inlineStr">
        <is>
          <t>TERRASSA</t>
        </is>
      </c>
      <c r="C132" t="inlineStr">
        <is>
          <t>&gt; 5000</t>
        </is>
      </c>
      <c r="D132" t="n">
        <v>42.30204675059755</v>
      </c>
      <c r="E132" t="inlineStr">
        <is>
          <t>&gt; 5000</t>
        </is>
      </c>
      <c r="F132" t="inlineStr">
        <is>
          <t>NATDA ES10 V</t>
        </is>
      </c>
    </row>
    <row r="133">
      <c r="A133" t="inlineStr">
        <is>
          <t>UKENNW_UU_TP000042</t>
        </is>
      </c>
      <c r="B133" t="inlineStr">
        <is>
          <t>Manchester and Salford (Davyhulme)STW</t>
        </is>
      </c>
      <c r="C133" t="inlineStr">
        <is>
          <t>&gt; 5000</t>
        </is>
      </c>
      <c r="D133" t="n">
        <v>0</v>
      </c>
      <c r="E133" t="n">
        <v>4772.805346011081</v>
      </c>
      <c r="F133" t="inlineStr">
        <is>
          <t>N2K SAC/SCI</t>
        </is>
      </c>
    </row>
    <row r="134">
      <c r="A134" t="inlineStr">
        <is>
          <t>IT09RT0504</t>
        </is>
      </c>
      <c r="B134" t="inlineStr">
        <is>
          <t>Idi_Aquarno</t>
        </is>
      </c>
      <c r="C134" t="inlineStr">
        <is>
          <t>&gt; 5000</t>
        </is>
      </c>
      <c r="D134" t="n">
        <v>80.1594351239067</v>
      </c>
      <c r="E134" t="n">
        <v>282.8778898983001</v>
      </c>
      <c r="F134" t="inlineStr">
        <is>
          <t>N2K SAC/SCI</t>
        </is>
      </c>
    </row>
    <row r="135">
      <c r="A135" t="inlineStr">
        <is>
          <t>ES1410910002012E</t>
        </is>
      </c>
      <c r="B135" t="inlineStr">
        <is>
          <t>COPERO</t>
        </is>
      </c>
      <c r="C135" t="inlineStr">
        <is>
          <t>&gt; 5000</t>
        </is>
      </c>
      <c r="D135" t="n">
        <v>438.9167696458925</v>
      </c>
      <c r="E135" t="n">
        <v>2224.630063091399</v>
      </c>
      <c r="F135" t="inlineStr">
        <is>
          <t>NATDA ES49 IV</t>
        </is>
      </c>
    </row>
    <row r="136">
      <c r="A136" t="inlineStr">
        <is>
          <t>FR025745200219</t>
        </is>
      </c>
      <c r="B136" t="inlineStr">
        <is>
          <t>METZ</t>
        </is>
      </c>
      <c r="C136" t="n">
        <v>0</v>
      </c>
      <c r="D136" t="n">
        <v>536.2200754890299</v>
      </c>
      <c r="E136" t="inlineStr">
        <is>
          <t>&gt; 5000</t>
        </is>
      </c>
      <c r="F136" t="inlineStr">
        <is>
          <t>N2K SAC/SCI</t>
        </is>
      </c>
    </row>
    <row r="137">
      <c r="A137" t="inlineStr">
        <is>
          <t>FIJVP_O000000000101</t>
        </is>
      </c>
      <c r="B137" t="inlineStr">
        <is>
          <t>TP (101) of Helsingin kt.</t>
        </is>
      </c>
      <c r="C137" t="n">
        <v>0</v>
      </c>
      <c r="D137" t="n">
        <v>1.970853323312946</v>
      </c>
      <c r="E137" t="n">
        <v>451.9188462161448</v>
      </c>
      <c r="F137" t="inlineStr">
        <is>
          <t>N2K</t>
        </is>
      </c>
    </row>
    <row r="138">
      <c r="A138" t="inlineStr">
        <is>
          <t>ES14300160001030E</t>
        </is>
      </c>
      <c r="B138" t="inlineStr">
        <is>
          <t>CARTAGENA (CABEZO BEAZA)</t>
        </is>
      </c>
      <c r="C138" t="inlineStr">
        <is>
          <t>&gt; 5000</t>
        </is>
      </c>
      <c r="D138" t="n">
        <v>1065.050162055173</v>
      </c>
      <c r="E138" t="inlineStr">
        <is>
          <t>&gt; 5000</t>
        </is>
      </c>
      <c r="F138" t="inlineStr">
        <is>
          <t>N2K SAC/SCI</t>
        </is>
      </c>
    </row>
    <row r="139">
      <c r="A139" t="inlineStr">
        <is>
          <t>IT15Q15000000006</t>
        </is>
      </c>
      <c r="B139" t="inlineStr">
        <is>
          <t>Marcianise_Ce_Depuratore_Di_Marcianise</t>
        </is>
      </c>
      <c r="C139" t="inlineStr">
        <is>
          <t>&gt; 5000</t>
        </is>
      </c>
      <c r="D139" t="n">
        <v>313.196200287428</v>
      </c>
      <c r="E139" t="inlineStr">
        <is>
          <t>&gt; 5000</t>
        </is>
      </c>
      <c r="F139" t="inlineStr">
        <is>
          <t>N2K SAC/SCI</t>
        </is>
      </c>
    </row>
    <row r="140">
      <c r="A140" t="inlineStr">
        <is>
          <t>DETP_BYDON-K0220</t>
        </is>
      </c>
      <c r="B140" t="inlineStr">
        <is>
          <t>Zweckverband Klärwerk Steinhäule</t>
        </is>
      </c>
      <c r="C140" t="n">
        <v>763.4682988968192</v>
      </c>
      <c r="D140" t="n">
        <v>373.561453603234</v>
      </c>
      <c r="E140" t="n">
        <v>0</v>
      </c>
      <c r="F140" t="inlineStr">
        <is>
          <t>N2K SAC/SCI</t>
        </is>
      </c>
    </row>
    <row r="141">
      <c r="A141" t="inlineStr">
        <is>
          <t>UKENNE_YW_TP000082</t>
        </is>
      </c>
      <c r="B141" t="inlineStr">
        <is>
          <t>BRADFORD ESHOLT STW</t>
        </is>
      </c>
      <c r="C141" t="inlineStr">
        <is>
          <t>&gt; 5000</t>
        </is>
      </c>
      <c r="D141" t="n">
        <v>91.1086129802092</v>
      </c>
      <c r="E141" t="inlineStr">
        <is>
          <t>&gt; 5000</t>
        </is>
      </c>
      <c r="F141" t="inlineStr">
        <is>
          <t>N2K SPA</t>
        </is>
      </c>
    </row>
    <row r="142">
      <c r="A142" t="inlineStr">
        <is>
          <t>FR0444109S0011</t>
        </is>
      </c>
      <c r="B142" t="inlineStr">
        <is>
          <t>NANTES 1-TOUGAS</t>
        </is>
      </c>
      <c r="C142" t="n">
        <v>0</v>
      </c>
      <c r="D142" t="n">
        <v>333.2699870922107</v>
      </c>
      <c r="E142" t="n">
        <v>0</v>
      </c>
      <c r="F142" t="inlineStr">
        <is>
          <t>N2K SAC/SCI</t>
        </is>
      </c>
    </row>
    <row r="143">
      <c r="A143" t="inlineStr">
        <is>
          <t>ES7372740002010E</t>
        </is>
      </c>
      <c r="B143" t="inlineStr">
        <is>
          <t>SALAMANCA</t>
        </is>
      </c>
      <c r="C143" t="inlineStr">
        <is>
          <t>&gt; 5000</t>
        </is>
      </c>
      <c r="D143" t="n">
        <v>485.2929569454405</v>
      </c>
      <c r="E143" t="inlineStr">
        <is>
          <t>&gt; 5000</t>
        </is>
      </c>
      <c r="F143" t="inlineStr">
        <is>
          <t>N2K SAC/SCI</t>
        </is>
      </c>
    </row>
    <row r="144">
      <c r="A144" t="inlineStr">
        <is>
          <t>UKENNW_UU_TP000124</t>
        </is>
      </c>
      <c r="B144" t="inlineStr">
        <is>
          <t>NORTH WARRINGTON   STW</t>
        </is>
      </c>
      <c r="C144" t="inlineStr">
        <is>
          <t>&gt; 5000</t>
        </is>
      </c>
      <c r="D144" t="n">
        <v>351.7697407627352</v>
      </c>
      <c r="E144" t="inlineStr">
        <is>
          <t>&gt; 5000</t>
        </is>
      </c>
      <c r="F144" t="inlineStr">
        <is>
          <t>N2K SAC/SCI</t>
        </is>
      </c>
    </row>
    <row r="145">
      <c r="A145" t="inlineStr">
        <is>
          <t>UKENTH_TWU_TP000126</t>
        </is>
      </c>
      <c r="B145" t="inlineStr">
        <is>
          <t>Rye Meads STW</t>
        </is>
      </c>
      <c r="C145" t="inlineStr">
        <is>
          <t>&gt; 5000</t>
        </is>
      </c>
      <c r="D145" t="n">
        <v>194.2624542636653</v>
      </c>
      <c r="E145" t="inlineStr">
        <is>
          <t>&gt; 5000</t>
        </is>
      </c>
      <c r="F145" t="inlineStr">
        <is>
          <t>N2K SAC/SCI</t>
        </is>
      </c>
    </row>
    <row r="146">
      <c r="A146" t="inlineStr">
        <is>
          <t>IT15Q15000000004</t>
        </is>
      </c>
      <c r="B146" t="inlineStr">
        <is>
          <t>Marigliano_Na_Depuratore_Di_Nola</t>
        </is>
      </c>
      <c r="C146" t="inlineStr">
        <is>
          <t>&gt; 5000</t>
        </is>
      </c>
      <c r="D146" t="n">
        <v>1635.024529803594</v>
      </c>
      <c r="E146" t="n">
        <v>2171.152341145572</v>
      </c>
      <c r="F146" t="inlineStr">
        <is>
          <t>NATDA IT04 IV</t>
        </is>
      </c>
    </row>
    <row r="147">
      <c r="A147" t="inlineStr">
        <is>
          <t>DETP_BYN-K0002</t>
        </is>
      </c>
      <c r="B147" t="inlineStr">
        <is>
          <t>Erlangen</t>
        </is>
      </c>
      <c r="C147" t="inlineStr">
        <is>
          <t>&gt; 5000</t>
        </is>
      </c>
      <c r="D147" t="n">
        <v>0</v>
      </c>
      <c r="E147" t="n">
        <v>121.4656755944708</v>
      </c>
      <c r="F147" t="inlineStr">
        <is>
          <t>NATDA DE07 V</t>
        </is>
      </c>
    </row>
    <row r="148">
      <c r="A148" t="inlineStr">
        <is>
          <t>IT09RT0506</t>
        </is>
      </c>
      <c r="B148" t="inlineStr">
        <is>
          <t>Idi_Cuoio_Depur</t>
        </is>
      </c>
      <c r="C148" t="inlineStr">
        <is>
          <t>&gt; 5000</t>
        </is>
      </c>
      <c r="D148" t="n">
        <v>122.0461373839797</v>
      </c>
      <c r="E148" t="n">
        <v>1083.321685966331</v>
      </c>
      <c r="F148" t="inlineStr">
        <is>
          <t>N2K SAC/SCI</t>
        </is>
      </c>
    </row>
    <row r="149">
      <c r="A149" t="inlineStr">
        <is>
          <t>ES1410700001010E</t>
        </is>
      </c>
      <c r="B149" t="inlineStr">
        <is>
          <t>PALOMARES</t>
        </is>
      </c>
      <c r="C149" t="inlineStr">
        <is>
          <t>&gt; 5000</t>
        </is>
      </c>
      <c r="D149" t="n">
        <v>849.6163553847579</v>
      </c>
      <c r="E149" t="n">
        <v>398.1887627739014</v>
      </c>
      <c r="F149" t="inlineStr">
        <is>
          <t>N2K SAC/SCI</t>
        </is>
      </c>
    </row>
    <row r="150">
      <c r="A150" t="inlineStr">
        <is>
          <t>DETP_ST153581000001</t>
        </is>
      </c>
      <c r="B150" t="inlineStr">
        <is>
          <t>MD-Gerwisch</t>
        </is>
      </c>
      <c r="C150" t="n">
        <v>192.9029448277279</v>
      </c>
      <c r="D150" t="n">
        <v>0</v>
      </c>
      <c r="E150" t="n">
        <v>177.8335036563894</v>
      </c>
      <c r="F150" t="inlineStr">
        <is>
          <t>N2K SAC/SCI</t>
        </is>
      </c>
    </row>
    <row r="151">
      <c r="A151" t="inlineStr">
        <is>
          <t>RO3AG_51</t>
        </is>
      </c>
      <c r="B151" t="inlineStr">
        <is>
          <t>ROWP SC APA CANAL 2000 S.A. PITESTI</t>
        </is>
      </c>
      <c r="C151" t="inlineStr">
        <is>
          <t>&gt; 5000</t>
        </is>
      </c>
      <c r="D151" t="n">
        <v>181.7399684604404</v>
      </c>
      <c r="E151" t="n">
        <v>0</v>
      </c>
      <c r="F151" t="inlineStr">
        <is>
          <t>N2K SPA</t>
        </is>
      </c>
    </row>
    <row r="152">
      <c r="A152" t="inlineStr">
        <is>
          <t>IT06000000000098</t>
        </is>
      </c>
      <c r="B152" t="inlineStr">
        <is>
          <t>San_Giorgio_Di_Nogaro</t>
        </is>
      </c>
      <c r="C152" t="inlineStr">
        <is>
          <t>&gt; 5000</t>
        </is>
      </c>
      <c r="D152" t="n">
        <v>384.3693042370284</v>
      </c>
      <c r="E152" t="n">
        <v>0</v>
      </c>
      <c r="F152" t="inlineStr">
        <is>
          <t>N2K</t>
        </is>
      </c>
    </row>
    <row r="153">
      <c r="A153" t="inlineStr">
        <is>
          <t>IT12000000000311</t>
        </is>
      </c>
      <c r="B153" t="inlineStr">
        <is>
          <t>ROMA_NORD</t>
        </is>
      </c>
      <c r="C153" t="n">
        <v>1208.673139412389</v>
      </c>
      <c r="D153" t="n">
        <v>149.0709742417879</v>
      </c>
      <c r="E153" t="n">
        <v>194.3484572673365</v>
      </c>
      <c r="F153" t="inlineStr">
        <is>
          <t>NATDA IT04 V</t>
        </is>
      </c>
    </row>
    <row r="154">
      <c r="A154" t="inlineStr">
        <is>
          <t>DETP_ST152021000001</t>
        </is>
      </c>
      <c r="B154" t="inlineStr">
        <is>
          <t>Halle-Nord</t>
        </is>
      </c>
      <c r="C154" t="n">
        <v>129.6175201792808</v>
      </c>
      <c r="D154" t="n">
        <v>1.962804902949594</v>
      </c>
      <c r="E154" t="n">
        <v>0</v>
      </c>
      <c r="F154" t="inlineStr">
        <is>
          <t>NATDA DE07 V</t>
        </is>
      </c>
    </row>
    <row r="155">
      <c r="A155" t="inlineStr">
        <is>
          <t>HRUWWTP_0001116_001</t>
        </is>
      </c>
      <c r="B155" t="inlineStr">
        <is>
          <t>Rijeka-Delta</t>
        </is>
      </c>
      <c r="C155" t="n">
        <v>0</v>
      </c>
      <c r="D155" t="n">
        <v>187.086875736888</v>
      </c>
      <c r="E155" t="n">
        <v>3710.049640225304</v>
      </c>
      <c r="F155" t="inlineStr">
        <is>
          <t>N2K SAC/SCI</t>
        </is>
      </c>
    </row>
    <row r="156">
      <c r="A156" t="inlineStr">
        <is>
          <t>FR025435700075</t>
        </is>
      </c>
      <c r="B156" t="inlineStr">
        <is>
          <t>MAXEVILLE</t>
        </is>
      </c>
      <c r="C156" t="n">
        <v>0</v>
      </c>
      <c r="D156" t="n">
        <v>0</v>
      </c>
      <c r="E156" t="n">
        <v>1493.740613899877</v>
      </c>
      <c r="F156" t="inlineStr">
        <is>
          <t>N2K SAC/SCI</t>
        </is>
      </c>
    </row>
    <row r="157">
      <c r="A157" t="inlineStr">
        <is>
          <t>IT15Q90000003627</t>
        </is>
      </c>
      <c r="B157" t="inlineStr">
        <is>
          <t>Salerno_Impianto_Salerno</t>
        </is>
      </c>
      <c r="C157" t="inlineStr">
        <is>
          <t>&gt; 5000</t>
        </is>
      </c>
      <c r="D157" t="n">
        <v>438.3680516902702</v>
      </c>
      <c r="E157" t="inlineStr">
        <is>
          <t>&gt; 5000</t>
        </is>
      </c>
      <c r="F157" t="inlineStr">
        <is>
          <t>N2K SPA</t>
        </is>
      </c>
    </row>
    <row r="158">
      <c r="A158" t="inlineStr">
        <is>
          <t>IT12000000000304</t>
        </is>
      </c>
      <c r="B158" t="inlineStr">
        <is>
          <t>ROMA_EST</t>
        </is>
      </c>
      <c r="C158" t="n">
        <v>3769.516543813698</v>
      </c>
      <c r="D158" t="n">
        <v>0</v>
      </c>
      <c r="E158" t="n">
        <v>0</v>
      </c>
      <c r="F158" t="inlineStr">
        <is>
          <t>NATDA IT05 V</t>
        </is>
      </c>
    </row>
    <row r="159">
      <c r="A159" t="inlineStr">
        <is>
          <t>UKENAN_AW_TP000069</t>
        </is>
      </c>
      <c r="B159" t="inlineStr">
        <is>
          <t>MILTON KEYNES   STW</t>
        </is>
      </c>
      <c r="C159" t="inlineStr">
        <is>
          <t>&gt; 5000</t>
        </is>
      </c>
      <c r="D159" t="n">
        <v>0</v>
      </c>
      <c r="E159" t="inlineStr">
        <is>
          <t>&gt; 5000</t>
        </is>
      </c>
    </row>
    <row r="160">
      <c r="A160" t="inlineStr">
        <is>
          <t>DETP_BW1175100000062</t>
        </is>
      </c>
      <c r="B160" t="inlineStr">
        <is>
          <t>Göppingen</t>
        </is>
      </c>
      <c r="C160" t="inlineStr">
        <is>
          <t>&gt; 5000</t>
        </is>
      </c>
      <c r="D160" t="n">
        <v>18.46582080111869</v>
      </c>
      <c r="E160" t="n">
        <v>16.44766936937716</v>
      </c>
      <c r="F160" t="inlineStr">
        <is>
          <t>N2K SPA</t>
        </is>
      </c>
    </row>
    <row r="161">
      <c r="A161" t="inlineStr">
        <is>
          <t>DETP_NI253014201</t>
        </is>
      </c>
      <c r="B161" t="inlineStr">
        <is>
          <t>2530142095 KA Gümmerwald</t>
        </is>
      </c>
      <c r="C161" t="n">
        <v>4607.654671322967</v>
      </c>
      <c r="D161" t="n">
        <v>489.5543375239577</v>
      </c>
      <c r="E161" t="n">
        <v>0</v>
      </c>
      <c r="F161" t="inlineStr">
        <is>
          <t>NATDA DE07 V</t>
        </is>
      </c>
    </row>
    <row r="162">
      <c r="A162" t="inlineStr">
        <is>
          <t>SI_KCN_00098</t>
        </is>
      </c>
      <c r="B162" t="inlineStr">
        <is>
          <t>UWWTP_LJUBLJANA (ZALOG)</t>
        </is>
      </c>
      <c r="C162" t="n">
        <v>120.5310291667589</v>
      </c>
      <c r="D162" t="n">
        <v>45.59023131992119</v>
      </c>
      <c r="E162" t="n">
        <v>117.7685000477087</v>
      </c>
      <c r="F162" t="inlineStr">
        <is>
          <t>N2K SAC/SCI</t>
        </is>
      </c>
    </row>
    <row r="163">
      <c r="A163" t="inlineStr">
        <is>
          <t>IT03160128000384</t>
        </is>
      </c>
      <c r="B163" t="inlineStr">
        <is>
          <t>Dp01209001_Lonate_Pozzolo</t>
        </is>
      </c>
      <c r="C163" t="inlineStr">
        <is>
          <t>&gt; 5000</t>
        </is>
      </c>
      <c r="D163" t="n">
        <v>392.69113165024</v>
      </c>
      <c r="E163" t="n">
        <v>2717.487098452932</v>
      </c>
      <c r="F163" t="inlineStr">
        <is>
          <t>N2K SPA</t>
        </is>
      </c>
    </row>
    <row r="164">
      <c r="A164" t="inlineStr">
        <is>
          <t>FR0472181S0016</t>
        </is>
      </c>
      <c r="B164" t="inlineStr">
        <is>
          <t>LMM_LE MANS - LA CHAUVINIÈRE</t>
        </is>
      </c>
      <c r="C164" t="n">
        <v>0</v>
      </c>
      <c r="D164" t="n">
        <v>257.905904757677</v>
      </c>
      <c r="E164" t="inlineStr">
        <is>
          <t>&gt; 5000</t>
        </is>
      </c>
    </row>
    <row r="165">
      <c r="A165" t="inlineStr">
        <is>
          <t>ES10461100001010E</t>
        </is>
      </c>
      <c r="B165" t="inlineStr">
        <is>
          <t>QUART - BENAGER</t>
        </is>
      </c>
      <c r="C165" t="inlineStr">
        <is>
          <t>&gt; 5000</t>
        </is>
      </c>
      <c r="D165" t="n">
        <v>314.3927091647257</v>
      </c>
      <c r="E165" t="n">
        <v>3621.346109457929</v>
      </c>
      <c r="F165" t="inlineStr">
        <is>
          <t>NATDA ES10 II</t>
        </is>
      </c>
    </row>
    <row r="166">
      <c r="A166" t="inlineStr">
        <is>
          <t>DETP_BW3165100000008</t>
        </is>
      </c>
      <c r="B166" t="inlineStr">
        <is>
          <t>SKA AZV BREISGAUER BUCHT - KA FORCHHEIM</t>
        </is>
      </c>
      <c r="C166" t="inlineStr">
        <is>
          <t>&gt; 5000</t>
        </is>
      </c>
      <c r="D166" t="n">
        <v>1971.317281000406</v>
      </c>
      <c r="E166" t="n">
        <v>0</v>
      </c>
      <c r="F166" t="inlineStr">
        <is>
          <t>N2K SPA</t>
        </is>
      </c>
    </row>
    <row r="167">
      <c r="A167" t="inlineStr">
        <is>
          <t>FR060969199001</t>
        </is>
      </c>
      <c r="B167" t="inlineStr">
        <is>
          <t>LYON - SAINT FONS</t>
        </is>
      </c>
      <c r="C167" t="n">
        <v>0</v>
      </c>
      <c r="D167" t="n">
        <v>90.1192463511488</v>
      </c>
      <c r="E167" t="inlineStr">
        <is>
          <t>&gt; 5000</t>
        </is>
      </c>
      <c r="F167" t="inlineStr">
        <is>
          <t>NATDA FR05 IV</t>
        </is>
      </c>
    </row>
    <row r="168">
      <c r="A168" t="inlineStr">
        <is>
          <t>ES8130050002010E</t>
        </is>
      </c>
      <c r="B168" t="inlineStr">
        <is>
          <t>ALCAZAR DE SAN JUAN-CAMPO DE CRIPTANA</t>
        </is>
      </c>
      <c r="C168" t="inlineStr">
        <is>
          <t>&gt; 5000</t>
        </is>
      </c>
      <c r="D168" t="n">
        <v>252.4847746003008</v>
      </c>
      <c r="E168" t="n">
        <v>0</v>
      </c>
      <c r="F168" t="inlineStr">
        <is>
          <t>N2K SAC/SCI</t>
        </is>
      </c>
    </row>
    <row r="169">
      <c r="A169" t="inlineStr">
        <is>
          <t>ES3330441901011E</t>
        </is>
      </c>
      <c r="B169" t="inlineStr">
        <is>
          <t>VILLAPEREZ</t>
        </is>
      </c>
      <c r="C169" t="inlineStr">
        <is>
          <t>&gt; 5000</t>
        </is>
      </c>
      <c r="D169" t="n">
        <v>56.40702867504501</v>
      </c>
      <c r="E169" t="inlineStr">
        <is>
          <t>&gt; 5000</t>
        </is>
      </c>
      <c r="F169" t="inlineStr">
        <is>
          <t>NATDA ES06 IV</t>
        </is>
      </c>
    </row>
    <row r="170">
      <c r="A170" t="inlineStr">
        <is>
          <t>ES17260890002010E</t>
        </is>
      </c>
      <c r="B170" t="inlineStr">
        <is>
          <t>LOGROÑO</t>
        </is>
      </c>
      <c r="C170" t="inlineStr">
        <is>
          <t>&gt; 5000</t>
        </is>
      </c>
      <c r="D170" t="n">
        <v>0</v>
      </c>
      <c r="E170" t="n">
        <v>1549.562446334842</v>
      </c>
      <c r="F170" t="inlineStr">
        <is>
          <t>N2K</t>
        </is>
      </c>
    </row>
    <row r="171">
      <c r="A171" t="inlineStr">
        <is>
          <t>IETP_D0033</t>
        </is>
      </c>
      <c r="B171" t="inlineStr">
        <is>
          <t>Cork city</t>
        </is>
      </c>
      <c r="C171" t="inlineStr">
        <is>
          <t>&gt; 5000</t>
        </is>
      </c>
      <c r="D171" t="n">
        <v>148.4101594427444</v>
      </c>
      <c r="E171" t="n">
        <v>0</v>
      </c>
      <c r="F171" t="inlineStr">
        <is>
          <t>N2K SAC/SCI</t>
        </is>
      </c>
    </row>
    <row r="172">
      <c r="A172" t="inlineStr">
        <is>
          <t>FR060921231001</t>
        </is>
      </c>
      <c r="B172" t="inlineStr">
        <is>
          <t>DIJON</t>
        </is>
      </c>
      <c r="C172" t="n">
        <v>0</v>
      </c>
      <c r="D172" t="n">
        <v>45.34297898076919</v>
      </c>
      <c r="E172" t="inlineStr">
        <is>
          <t>&gt; 5000</t>
        </is>
      </c>
      <c r="F172" t="inlineStr">
        <is>
          <t>N2K SPA</t>
        </is>
      </c>
    </row>
    <row r="173">
      <c r="A173" t="inlineStr">
        <is>
          <t>UKENMI_ST_TP000068</t>
        </is>
      </c>
      <c r="B173" t="inlineStr">
        <is>
          <t>COVENTRY  STW</t>
        </is>
      </c>
      <c r="C173" t="inlineStr">
        <is>
          <t>&gt; 5000</t>
        </is>
      </c>
      <c r="D173" t="n">
        <v>392.0128545649823</v>
      </c>
      <c r="E173" t="inlineStr">
        <is>
          <t>&gt; 5000</t>
        </is>
      </c>
    </row>
    <row r="174">
      <c r="A174" t="inlineStr">
        <is>
          <t>UKENAN_AW_TP000107</t>
        </is>
      </c>
      <c r="B174" t="inlineStr">
        <is>
          <t>NORTHAMPTON   STW</t>
        </is>
      </c>
      <c r="C174" t="inlineStr">
        <is>
          <t>&gt; 5000</t>
        </is>
      </c>
      <c r="D174" t="n">
        <v>131.5628244080357</v>
      </c>
      <c r="E174" t="inlineStr">
        <is>
          <t>&gt; 5000</t>
        </is>
      </c>
      <c r="F174" t="inlineStr">
        <is>
          <t>N2K SPA</t>
        </is>
      </c>
    </row>
    <row r="175">
      <c r="A175" t="inlineStr">
        <is>
          <t>DETP_NW608</t>
        </is>
      </c>
      <c r="B175" t="inlineStr">
        <is>
          <t>Wuppertal-Buchenhofen</t>
        </is>
      </c>
      <c r="C175" t="n">
        <v>12.04685370392269</v>
      </c>
      <c r="D175" t="n">
        <v>0</v>
      </c>
      <c r="E175" t="n">
        <v>0</v>
      </c>
      <c r="F175" t="inlineStr">
        <is>
          <t>NATDA DE02 IV</t>
        </is>
      </c>
    </row>
    <row r="176">
      <c r="A176" t="inlineStr">
        <is>
          <t>PT5000519</t>
        </is>
      </c>
      <c r="B176" t="inlineStr">
        <is>
          <t>Matosinhos</t>
        </is>
      </c>
      <c r="C176" t="inlineStr">
        <is>
          <t>&gt; 5000</t>
        </is>
      </c>
      <c r="D176" t="n">
        <v>383.6034884898916</v>
      </c>
      <c r="E176" t="inlineStr">
        <is>
          <t>&gt; 5000</t>
        </is>
      </c>
      <c r="F176" t="inlineStr">
        <is>
          <t>NATDA PT57 IV</t>
        </is>
      </c>
    </row>
    <row r="177">
      <c r="A177" t="inlineStr">
        <is>
          <t>PT20501079</t>
        </is>
      </c>
      <c r="B177" t="inlineStr">
        <is>
          <t>Rib. de Moinhos</t>
        </is>
      </c>
      <c r="C177" t="inlineStr">
        <is>
          <t>&gt; 5000</t>
        </is>
      </c>
      <c r="D177" t="n">
        <v>979.3393785912286</v>
      </c>
      <c r="E177" t="n">
        <v>0</v>
      </c>
      <c r="F177" t="inlineStr">
        <is>
          <t>N2K SAC/SCI</t>
        </is>
      </c>
    </row>
    <row r="178">
      <c r="A178" t="inlineStr">
        <is>
          <t>ES13280790001013E</t>
        </is>
      </c>
      <c r="B178" t="inlineStr">
        <is>
          <t>BUTARQUE</t>
        </is>
      </c>
      <c r="C178" t="inlineStr">
        <is>
          <t>&gt; 5000</t>
        </is>
      </c>
      <c r="D178" t="n">
        <v>0</v>
      </c>
      <c r="E178" t="n">
        <v>614.5341166675383</v>
      </c>
      <c r="F178" t="inlineStr">
        <is>
          <t>N2K SAC/SCI</t>
        </is>
      </c>
    </row>
    <row r="179">
      <c r="A179" t="inlineStr">
        <is>
          <t>ES1140210009010E</t>
        </is>
      </c>
      <c r="B179" t="inlineStr">
        <is>
          <t>LA GOLONDRINA</t>
        </is>
      </c>
      <c r="C179" t="inlineStr">
        <is>
          <t>&gt; 5000</t>
        </is>
      </c>
      <c r="D179" t="n">
        <v>7.56688036821969</v>
      </c>
      <c r="E179" t="n">
        <v>0</v>
      </c>
      <c r="F179" t="inlineStr">
        <is>
          <t>N2K SAC/SCI</t>
        </is>
      </c>
    </row>
    <row r="180">
      <c r="A180" t="inlineStr">
        <is>
          <t>FR0533039V005</t>
        </is>
      </c>
      <c r="B180" t="inlineStr">
        <is>
          <t>BEGLES (CLOS DE HILDE)</t>
        </is>
      </c>
      <c r="C180" t="n">
        <v>0</v>
      </c>
      <c r="D180" t="n">
        <v>48.28909344552614</v>
      </c>
      <c r="E180" t="n">
        <v>64.35529745563355</v>
      </c>
      <c r="F180" t="inlineStr">
        <is>
          <t>N2K SAC/SCI</t>
        </is>
      </c>
    </row>
    <row r="181">
      <c r="A181" t="inlineStr">
        <is>
          <t>PT18075792</t>
        </is>
      </c>
      <c r="B181" t="inlineStr">
        <is>
          <t>Agra I e II</t>
        </is>
      </c>
      <c r="C181" t="inlineStr">
        <is>
          <t>&gt; 5000</t>
        </is>
      </c>
      <c r="D181" t="n">
        <v>322.6675502154731</v>
      </c>
      <c r="E181" t="inlineStr">
        <is>
          <t>&gt; 5000</t>
        </is>
      </c>
      <c r="F181" t="inlineStr">
        <is>
          <t>NATDA PT57 IV</t>
        </is>
      </c>
    </row>
    <row r="182">
      <c r="A182" t="inlineStr">
        <is>
          <t>DETP_BE02</t>
        </is>
      </c>
      <c r="B182" t="inlineStr">
        <is>
          <t>Schönerlinde</t>
        </is>
      </c>
      <c r="C182" t="n">
        <v>1923.102173232987</v>
      </c>
      <c r="D182" t="n">
        <v>243.6096213451453</v>
      </c>
      <c r="E182" t="n">
        <v>1019.848080892195</v>
      </c>
      <c r="F182" t="inlineStr">
        <is>
          <t>NATDA DE02 IV</t>
        </is>
      </c>
    </row>
    <row r="183">
      <c r="A183" t="inlineStr">
        <is>
          <t>UKENMI_ST_TP000156</t>
        </is>
      </c>
      <c r="B183" t="inlineStr">
        <is>
          <t>BIRMINGHAM &amp; BLACK COUNTRY NO. 1 (MINWORTH) STW</t>
        </is>
      </c>
      <c r="C183" t="inlineStr">
        <is>
          <t>&gt; 5000</t>
        </is>
      </c>
      <c r="D183" t="n">
        <v>14.81323870743378</v>
      </c>
      <c r="E183" t="inlineStr">
        <is>
          <t>&gt; 5000</t>
        </is>
      </c>
    </row>
    <row r="184">
      <c r="A184" t="inlineStr">
        <is>
          <t>EL300026013</t>
        </is>
      </c>
      <c r="B184" t="inlineStr">
        <is>
          <t>METAMORPHOSI</t>
        </is>
      </c>
      <c r="C184" t="inlineStr">
        <is>
          <t>&gt; 5000</t>
        </is>
      </c>
      <c r="D184" t="n">
        <v>52.54686493369379</v>
      </c>
      <c r="E184" t="inlineStr">
        <is>
          <t>&gt; 5000</t>
        </is>
      </c>
      <c r="F184" t="inlineStr">
        <is>
          <t>NATDA EL95 IV</t>
        </is>
      </c>
    </row>
    <row r="185">
      <c r="A185" t="inlineStr">
        <is>
          <t>UKENNW_UU_TP000018</t>
        </is>
      </c>
      <c r="B185" t="inlineStr">
        <is>
          <t>BLACKBURN STW</t>
        </is>
      </c>
      <c r="C185" t="inlineStr">
        <is>
          <t>&gt; 5000</t>
        </is>
      </c>
      <c r="D185" t="n">
        <v>39.1873925507237</v>
      </c>
      <c r="E185" t="inlineStr">
        <is>
          <t>&gt; 5000</t>
        </is>
      </c>
      <c r="F185" t="inlineStr">
        <is>
          <t>N2K SPA</t>
        </is>
      </c>
    </row>
    <row r="186">
      <c r="A186" t="inlineStr">
        <is>
          <t>FRCH0000101160</t>
        </is>
      </c>
      <c r="B186" t="inlineStr">
        <is>
          <t>FERNEY-VOLTAIRE - AIRE 2</t>
        </is>
      </c>
      <c r="C186" t="n">
        <v>4633.00468041977</v>
      </c>
      <c r="D186" t="n">
        <v>0</v>
      </c>
      <c r="E186" t="n">
        <v>0</v>
      </c>
      <c r="F186" t="inlineStr">
        <is>
          <t>NATDA CH13 notAssigned</t>
        </is>
      </c>
    </row>
    <row r="187">
      <c r="A187" t="inlineStr">
        <is>
          <t>ES6390060001010E</t>
        </is>
      </c>
      <c r="B187" t="inlineStr">
        <is>
          <t>SAN PANTALEON</t>
        </is>
      </c>
      <c r="C187" t="inlineStr">
        <is>
          <t>&gt; 5000</t>
        </is>
      </c>
      <c r="D187" t="n">
        <v>413.7412410417837</v>
      </c>
      <c r="E187" t="n">
        <v>0</v>
      </c>
      <c r="F187" t="inlineStr">
        <is>
          <t>N2K SPA</t>
        </is>
      </c>
    </row>
    <row r="188">
      <c r="A188" t="inlineStr">
        <is>
          <t>ES10030650002001E</t>
        </is>
      </c>
      <c r="B188" t="inlineStr">
        <is>
          <t>ELX - ALGOROS</t>
        </is>
      </c>
      <c r="C188" t="inlineStr">
        <is>
          <t>&gt; 5000</t>
        </is>
      </c>
      <c r="D188" t="n">
        <v>4.177666272054585</v>
      </c>
      <c r="E188" t="inlineStr">
        <is>
          <t>&gt; 5000</t>
        </is>
      </c>
      <c r="F188" t="inlineStr">
        <is>
          <t>N2K SPA</t>
        </is>
      </c>
    </row>
    <row r="189">
      <c r="A189" t="inlineStr">
        <is>
          <t>IT15Q15000000008</t>
        </is>
      </c>
      <c r="B189" t="inlineStr">
        <is>
          <t>Pozzuoli_Na_Impianto_Napoli_Ovest_Cuma</t>
        </is>
      </c>
      <c r="C189" t="inlineStr">
        <is>
          <t>&gt; 5000</t>
        </is>
      </c>
      <c r="D189" t="n">
        <v>241.8468092388772</v>
      </c>
      <c r="E189" t="n">
        <v>1748.027046185181</v>
      </c>
      <c r="F189" t="inlineStr">
        <is>
          <t>N2K SAC/SCI</t>
        </is>
      </c>
    </row>
    <row r="190">
      <c r="A190" t="inlineStr">
        <is>
          <t>ES13280790001011E</t>
        </is>
      </c>
      <c r="B190" t="inlineStr">
        <is>
          <t>SUR</t>
        </is>
      </c>
      <c r="C190" t="inlineStr">
        <is>
          <t>&gt; 5000</t>
        </is>
      </c>
      <c r="D190" t="n">
        <v>23.17939358981829</v>
      </c>
      <c r="E190" t="n">
        <v>0</v>
      </c>
      <c r="F190" t="inlineStr">
        <is>
          <t>NATDA ES11 V</t>
        </is>
      </c>
    </row>
    <row r="191">
      <c r="A191" t="inlineStr">
        <is>
          <t>ES13280790001019E</t>
        </is>
      </c>
      <c r="B191" t="inlineStr">
        <is>
          <t>ARROYO CULEBRO CUENCA BAJA</t>
        </is>
      </c>
      <c r="C191" t="inlineStr">
        <is>
          <t>&gt; 5000</t>
        </is>
      </c>
      <c r="D191" t="n">
        <v>1699.03130122631</v>
      </c>
      <c r="E191" t="n">
        <v>0</v>
      </c>
      <c r="F191" t="inlineStr">
        <is>
          <t>NATDA ES11 V</t>
        </is>
      </c>
    </row>
    <row r="192">
      <c r="A192" t="inlineStr">
        <is>
          <t>ES13280790001012E</t>
        </is>
      </c>
      <c r="B192" t="inlineStr">
        <is>
          <t>LA CHINA</t>
        </is>
      </c>
      <c r="C192" t="inlineStr">
        <is>
          <t>&gt; 5000</t>
        </is>
      </c>
      <c r="D192" t="n">
        <v>23.17939358981829</v>
      </c>
      <c r="E192" t="n">
        <v>0</v>
      </c>
      <c r="F192" t="inlineStr">
        <is>
          <t>NATDA ES11 V</t>
        </is>
      </c>
    </row>
    <row r="193">
      <c r="A193" t="inlineStr">
        <is>
          <t>ES14300161912010E</t>
        </is>
      </c>
      <c r="B193" t="inlineStr">
        <is>
          <t>MAR MENOR SUR</t>
        </is>
      </c>
      <c r="C193" t="inlineStr">
        <is>
          <t>&gt; 5000</t>
        </is>
      </c>
      <c r="D193" t="n">
        <v>335.7635443784725</v>
      </c>
      <c r="E193" t="n">
        <v>0</v>
      </c>
      <c r="F193" t="inlineStr">
        <is>
          <t>NATDA ES11 II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93"/>
  <sheetViews>
    <sheetView workbookViewId="0">
      <selection activeCell="A1" sqref="A1"/>
    </sheetView>
  </sheetViews>
  <sheetFormatPr baseColWidth="8" defaultRowHeight="15"/>
  <cols>
    <col width="29" customWidth="1" min="1" max="1"/>
    <col width="67" customWidth="1" min="2" max="2"/>
    <col width="15" customWidth="1" min="3" max="3"/>
    <col width="15" customWidth="1" min="4" max="4"/>
    <col width="10" customWidth="1" min="5" max="5"/>
    <col width="12" customWidth="1" min="6" max="6"/>
    <col width="23" customWidth="1" min="7" max="7"/>
    <col width="26" customWidth="1" min="8" max="8"/>
    <col width="18" customWidth="1" min="9" max="9"/>
    <col width="26" customWidth="1" min="10" max="10"/>
    <col width="80" customWidth="1" min="11" max="11"/>
    <col width="80" customWidth="1" min="12" max="12"/>
    <col width="80" customWidth="1" min="13" max="13"/>
    <col width="80" customWidth="1" min="14" max="14"/>
    <col width="67" customWidth="1" min="15" max="15"/>
    <col width="54" customWidth="1" min="16" max="16"/>
  </cols>
  <sheetData>
    <row r="1">
      <c r="A1" s="1" t="inlineStr">
        <is>
          <t>UWWTD Code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Network</t>
        </is>
      </c>
      <c r="F1" s="1" t="inlineStr">
        <is>
          <t>Connection</t>
        </is>
      </c>
      <c r="G1" s="1" t="inlineStr">
        <is>
          <t>Max. Flow temperature</t>
        </is>
      </c>
      <c r="H1" s="1" t="inlineStr">
        <is>
          <t>Max.  Return temperature</t>
        </is>
      </c>
      <c r="I1" s="1" t="inlineStr">
        <is>
          <t>Network type</t>
        </is>
      </c>
      <c r="J1" s="1" t="inlineStr">
        <is>
          <t>Distance to network [km]</t>
        </is>
      </c>
      <c r="K1" s="1" t="inlineStr">
        <is>
          <t>Comments</t>
        </is>
      </c>
      <c r="L1" s="1" t="inlineStr">
        <is>
          <t>Quellen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</row>
    <row r="2">
      <c r="A2" t="inlineStr">
        <is>
          <t>DETP_HH4/4 AI 3</t>
        </is>
      </c>
      <c r="B2" t="inlineStr">
        <is>
          <t>Klärwerksverbund Köhlbrandhöft Dradenau</t>
        </is>
      </c>
      <c r="C2" t="n">
        <v>53.5205</v>
      </c>
      <c r="D2" t="n">
        <v>9.915620000000001</v>
      </c>
      <c r="E2" t="inlineStr">
        <is>
          <t>Existing</t>
        </is>
      </c>
      <c r="F2" t="inlineStr">
        <is>
          <t>Planned</t>
        </is>
      </c>
      <c r="G2" t="n">
        <v>133</v>
      </c>
      <c r="H2" t="n">
        <v>60</v>
      </c>
      <c r="I2" t="inlineStr">
        <is>
          <t>Heizwasser</t>
        </is>
      </c>
      <c r="J2" t="n">
        <v>0</v>
      </c>
      <c r="K2" t="inlineStr">
        <is>
          <t>Direkte anbindung geplant</t>
        </is>
      </c>
      <c r="L2" t="inlineStr">
        <is>
          <t>Energiepark Hafen - Hamburger Energiewerke</t>
        </is>
      </c>
      <c r="M2" t="inlineStr">
        <is>
          <t>Wärmekataster für die Freie und Hansestadt Hamburg - hamburg.de</t>
        </is>
      </c>
      <c r="N2" t="inlineStr">
        <is>
          <t>Kohlefrei, klimafreundlich, modular - hamburg.de</t>
        </is>
      </c>
      <c r="O2" t="inlineStr">
        <is>
          <t>https://www.hamburger-energiewerke.de/waerme/fernwaerme-stadtnetz</t>
        </is>
      </c>
    </row>
    <row r="3">
      <c r="A3" t="inlineStr">
        <is>
          <t>NL25017</t>
        </is>
      </c>
      <c r="B3" t="inlineStr">
        <is>
          <t>UWWTP NIEUWVEER</t>
        </is>
      </c>
      <c r="C3" t="n">
        <v>51.63016666</v>
      </c>
      <c r="D3" t="n">
        <v>4.70793333</v>
      </c>
      <c r="E3" t="inlineStr">
        <is>
          <t>Existing</t>
        </is>
      </c>
      <c r="F3" t="inlineStr">
        <is>
          <t>Existing</t>
        </is>
      </c>
      <c r="I3" t="inlineStr">
        <is>
          <t>Heizwasser</t>
        </is>
      </c>
      <c r="J3" t="n">
        <v>0</v>
      </c>
      <c r="K3" t="inlineStr">
        <is>
          <t>Direkt angebunden</t>
        </is>
      </c>
      <c r="L3" t="inlineStr">
        <is>
          <t>Wärmenetz Mittel- und Westbrabant | Ennatuurlijk</t>
        </is>
      </c>
      <c r="M3" t="inlineStr">
        <is>
          <t>Heatmap | Ennatuurlijk</t>
        </is>
      </c>
    </row>
    <row r="4">
      <c r="A4" t="inlineStr">
        <is>
          <t>ATTP_4-41003001</t>
        </is>
      </c>
      <c r="B4" t="inlineStr">
        <is>
          <t>Asten - Regionalkläranlage</t>
        </is>
      </c>
      <c r="C4" t="n">
        <v>48.2366499143</v>
      </c>
      <c r="D4" t="n">
        <v>14.4122269169</v>
      </c>
      <c r="E4" t="inlineStr">
        <is>
          <t>Existing</t>
        </is>
      </c>
      <c r="F4" t="inlineStr">
        <is>
          <t>Existing</t>
        </is>
      </c>
      <c r="G4" t="inlineStr">
        <is>
          <t>-</t>
        </is>
      </c>
      <c r="H4" t="n">
        <v>50</v>
      </c>
      <c r="I4" t="inlineStr">
        <is>
          <t>Heizwasser</t>
        </is>
      </c>
      <c r="J4" t="n">
        <v>0</v>
      </c>
      <c r="K4" t="inlineStr">
        <is>
          <t>Nutzung Abwärme BHK</t>
        </is>
      </c>
      <c r="L4" t="inlineStr">
        <is>
          <t>Abwärmenutzung der Kläranlage im Biomasseheizwerk Asten | KOMMUNAL</t>
        </is>
      </c>
      <c r="M4" t="inlineStr">
        <is>
          <t>evn-technische-anschlussbedingungen-warme-stand-dez-2021.pdf</t>
        </is>
      </c>
    </row>
    <row r="5">
      <c r="A5" t="inlineStr">
        <is>
          <t>ATTP_9-HKA-Simmering</t>
        </is>
      </c>
      <c r="B5" t="inlineStr">
        <is>
          <t>Hauptkläranlage Wien</t>
        </is>
      </c>
      <c r="C5" t="n">
        <v>48.1722666227</v>
      </c>
      <c r="D5" t="n">
        <v>16.4652650766</v>
      </c>
      <c r="E5" t="inlineStr">
        <is>
          <t>Existing</t>
        </is>
      </c>
      <c r="F5" t="inlineStr">
        <is>
          <t>Existing</t>
        </is>
      </c>
      <c r="H5" t="n">
        <v>65</v>
      </c>
      <c r="I5" t="inlineStr">
        <is>
          <t>Heizwasser</t>
        </is>
      </c>
      <c r="J5" t="n">
        <v>0</v>
      </c>
      <c r="L5" t="inlineStr">
        <is>
          <t>Der Wiener Wärmeplan 2040</t>
        </is>
      </c>
      <c r="M5" t="inlineStr">
        <is>
          <t>Abwärme &amp; Restwärme » effiziente Energienutzung | Wien Energie</t>
        </is>
      </c>
    </row>
    <row r="6">
      <c r="A6" t="inlineStr">
        <is>
          <t>PLMP0011</t>
        </is>
      </c>
      <c r="B6" t="inlineStr">
        <is>
          <t>Kraków-Płaszów</t>
        </is>
      </c>
      <c r="C6" t="n">
        <v>50.0326</v>
      </c>
      <c r="D6" t="n">
        <v>20.0218</v>
      </c>
      <c r="E6" t="inlineStr">
        <is>
          <t>Existing</t>
        </is>
      </c>
      <c r="F6" t="inlineStr">
        <is>
          <t>Planned</t>
        </is>
      </c>
      <c r="I6" t="inlineStr">
        <is>
          <t>Heizwasser</t>
        </is>
      </c>
      <c r="J6" t="n">
        <v>0</v>
      </c>
      <c r="K6" t="inlineStr">
        <is>
          <t>Direkt angebunden</t>
        </is>
      </c>
      <c r="L6" t="inlineStr">
        <is>
          <t>Energie aus Sonne, Abwasser und Abfall | LoveKraków.pl</t>
        </is>
      </c>
      <c r="M6" t="inlineStr">
        <is>
          <t>MapaCiepa_A3_poziom_20200305_internet_eng.pdf</t>
        </is>
      </c>
      <c r="N6" t="inlineStr">
        <is>
          <t>https://bip.mpec.krakow.pl/attachments/download/615?utm_source=chatgpt.com</t>
        </is>
      </c>
    </row>
    <row r="7">
      <c r="A7" t="inlineStr">
        <is>
          <t>DETP_NW1805</t>
        </is>
      </c>
      <c r="B7" t="inlineStr">
        <is>
          <t>Köln Stammheim</t>
        </is>
      </c>
      <c r="C7" t="n">
        <v>50.9937</v>
      </c>
      <c r="D7" t="n">
        <v>6.97477</v>
      </c>
      <c r="E7" t="inlineStr">
        <is>
          <t>Existing</t>
        </is>
      </c>
      <c r="F7" t="inlineStr">
        <is>
          <t>Existing</t>
        </is>
      </c>
      <c r="I7" t="inlineStr">
        <is>
          <t>Heizwasser</t>
        </is>
      </c>
      <c r="J7" t="n">
        <v>0</v>
      </c>
      <c r="K7" t="inlineStr">
        <is>
          <t xml:space="preserve">Direkte Anbindung </t>
        </is>
      </c>
      <c r="L7" t="inlineStr">
        <is>
          <t>Fernwärme</t>
        </is>
      </c>
      <c r="M7" t="inlineStr">
        <is>
          <t>Fernwärme | GAG Immobilien AG</t>
        </is>
      </c>
      <c r="N7" t="inlineStr">
        <is>
          <t>Kläranlage beheizt Wohnsiedlung in Köln-Stammheim :vedec</t>
        </is>
      </c>
      <c r="O7" t="inlineStr">
        <is>
          <t>TAB</t>
        </is>
      </c>
    </row>
    <row r="8">
      <c r="A8" t="inlineStr">
        <is>
          <t>RO8IF_53</t>
        </is>
      </c>
      <c r="B8" t="inlineStr">
        <is>
          <t>ROWP SC APA NOVA SA BUCURESTI</t>
        </is>
      </c>
      <c r="C8" t="n">
        <v>44.396</v>
      </c>
      <c r="D8" t="n">
        <v>26.234</v>
      </c>
      <c r="E8" t="inlineStr">
        <is>
          <t>Existing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Netz zu weit entfernt</t>
        </is>
      </c>
      <c r="L8" t="inlineStr">
        <is>
          <t>Harta stare sistem termoficare oras Bucuresti</t>
        </is>
      </c>
    </row>
    <row r="9">
      <c r="A9" t="inlineStr">
        <is>
          <t>PLSL0090</t>
        </is>
      </c>
      <c r="B9" t="inlineStr">
        <is>
          <t>Centralna Oczyszczalnia Ścieków w Gliwicach</t>
        </is>
      </c>
      <c r="C9" t="n">
        <v>50.3119</v>
      </c>
      <c r="D9" t="n">
        <v>18.6453</v>
      </c>
      <c r="E9" t="inlineStr">
        <is>
          <t>Existing</t>
        </is>
      </c>
      <c r="F9" t="inlineStr">
        <is>
          <t>Planned</t>
        </is>
      </c>
      <c r="G9" t="n">
        <v>130</v>
      </c>
      <c r="H9" t="n">
        <v>75</v>
      </c>
      <c r="I9" t="inlineStr">
        <is>
          <t>Heizwasser</t>
        </is>
      </c>
      <c r="J9" t="n">
        <v>0</v>
      </c>
      <c r="K9" t="inlineStr">
        <is>
          <t>Direkt angebunden</t>
        </is>
      </c>
      <c r="L9" t="inlineStr">
        <is>
          <t>Improving the efficiency of the district heating system of PEC Gliwice | Antea Group</t>
        </is>
      </c>
      <c r="M9" t="inlineStr">
        <is>
          <t>https://www.tbs2.pl/zapytania-ofertowe-download/wykonanie-podlaczenia-budynku-przy-ul.-witkiewicza-35-w-gliwicach-do-sieci-ogrzewania-miejskiego-pec-c.o./opis-techniczny-witkiewicza35-swc.pdf?utm_source=chatgpt.com</t>
        </is>
      </c>
    </row>
    <row r="10">
      <c r="A10" t="inlineStr">
        <is>
          <t>ES2502970002010E</t>
        </is>
      </c>
      <c r="B10" t="inlineStr">
        <is>
          <t>ZARAGOZA (LA CARTUJA)</t>
        </is>
      </c>
      <c r="C10" t="n">
        <v>41.60967</v>
      </c>
      <c r="D10" t="n">
        <v>-0.80989</v>
      </c>
      <c r="E10" t="inlineStr">
        <is>
          <t>Existing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n">
        <v>10.6</v>
      </c>
      <c r="K10" t="inlineStr">
        <is>
          <t>Netz vorhanden aber nur begrenzt und zu weit entfernt</t>
        </is>
      </c>
    </row>
    <row r="11">
      <c r="A11" t="inlineStr">
        <is>
          <t>PLMZ0011</t>
        </is>
      </c>
      <c r="B11" t="inlineStr">
        <is>
          <t>Zakład Oczyszczalni Ścieków "Czajka"</t>
        </is>
      </c>
      <c r="C11" t="n">
        <v>52.35353841</v>
      </c>
      <c r="D11" t="n">
        <v>20.95945444</v>
      </c>
      <c r="E11" t="inlineStr">
        <is>
          <t>Existing</t>
        </is>
      </c>
      <c r="F11" t="inlineStr">
        <is>
          <t>Planned</t>
        </is>
      </c>
      <c r="G11" t="n">
        <v>117</v>
      </c>
      <c r="H11" t="n">
        <v>54.5</v>
      </c>
      <c r="I11" t="inlineStr">
        <is>
          <t>Heizwasser</t>
        </is>
      </c>
      <c r="J11" t="n">
        <v>0</v>
      </c>
      <c r="L11" t="inlineStr">
        <is>
          <t>Warschau. Sie wollen Wärme aus dem Abwasser zurückgewinnen. Aufträge für die Installation von Anlagen in Kläranlagen | TVN Warschau</t>
        </is>
      </c>
      <c r="M11" t="inlineStr">
        <is>
          <t>Intelligent district heating network | Transition Technologies Science Sp. z o.o.</t>
        </is>
      </c>
      <c r="N11" t="inlineStr">
        <is>
          <t>VEOLIA</t>
        </is>
      </c>
    </row>
    <row r="12">
      <c r="A12" t="inlineStr">
        <is>
          <t>DETP_NW2102</t>
        </is>
      </c>
      <c r="B12" t="inlineStr">
        <is>
          <t>Krefeld</t>
        </is>
      </c>
      <c r="C12" t="n">
        <v>51.3808</v>
      </c>
      <c r="D12" t="n">
        <v>6.63935</v>
      </c>
      <c r="E12" t="inlineStr">
        <is>
          <t>Existing</t>
        </is>
      </c>
      <c r="G12" t="n">
        <v>130</v>
      </c>
      <c r="H12" t="n">
        <v>75</v>
      </c>
      <c r="I12" t="inlineStr">
        <is>
          <t>Heizwasser</t>
        </is>
      </c>
      <c r="J12" t="n">
        <v>0.1</v>
      </c>
      <c r="K12" t="inlineStr">
        <is>
          <t>Fernwärmeleitung direkt neben Anlage/ Temperaturen sollen abgesenkt werden</t>
        </is>
      </c>
      <c r="L12" t="inlineStr">
        <is>
          <t>Fernwaermekarte.pdf</t>
        </is>
      </c>
      <c r="M12" t="inlineStr">
        <is>
          <t>TAB_NGN_Ausgabe2025v2.0.indd</t>
        </is>
      </c>
    </row>
    <row r="13">
      <c r="A13" t="inlineStr">
        <is>
          <t>NL32002</t>
        </is>
      </c>
      <c r="B13" t="inlineStr">
        <is>
          <t>UWWTP TILBURG-NOORD</t>
        </is>
      </c>
      <c r="C13" t="n">
        <v>51.60196666</v>
      </c>
      <c r="D13" t="n">
        <v>5.06821666</v>
      </c>
      <c r="E13" t="inlineStr">
        <is>
          <t>Existing</t>
        </is>
      </c>
      <c r="G13" t="n">
        <v>90</v>
      </c>
      <c r="H13" t="n">
        <v>70</v>
      </c>
      <c r="I13" t="inlineStr">
        <is>
          <t>Heizwasser</t>
        </is>
      </c>
      <c r="J13" t="n">
        <v>0.8129999999999999</v>
      </c>
      <c r="L13" t="inlineStr">
        <is>
          <t>Heatmap | Ennatuurlijk</t>
        </is>
      </c>
      <c r="M13" t="inlineStr">
        <is>
          <t>Transitievisie_Warmte_01-dec-2021.pdf</t>
        </is>
      </c>
    </row>
    <row r="14">
      <c r="A14" t="inlineStr">
        <is>
          <t>DETP_BW2225100000001</t>
        </is>
      </c>
      <c r="B14" t="inlineStr">
        <is>
          <t>Kläranlage Mannheim</t>
        </is>
      </c>
      <c r="C14" t="n">
        <v>49.5655</v>
      </c>
      <c r="D14" t="n">
        <v>8.425689999999999</v>
      </c>
      <c r="E14" t="inlineStr">
        <is>
          <t>Existing</t>
        </is>
      </c>
      <c r="G14" t="n">
        <v>90</v>
      </c>
      <c r="H14" t="n">
        <v>55</v>
      </c>
      <c r="I14" t="inlineStr">
        <is>
          <t>Heizwassser</t>
        </is>
      </c>
      <c r="J14" t="n">
        <v>3.25</v>
      </c>
      <c r="L14" t="inlineStr">
        <is>
          <t>PowerPoint-Präsentation</t>
        </is>
      </c>
      <c r="M14" t="inlineStr">
        <is>
          <t>Fernwärme-Versorgung - Netzgebiet für Mannheim und die Region</t>
        </is>
      </c>
      <c r="N14" t="inlineStr">
        <is>
          <t>DEKADE-F-Waerme | Fernwaerme-atlas</t>
        </is>
      </c>
    </row>
    <row r="15">
      <c r="A15" t="inlineStr">
        <is>
          <t>ES9081690001010E</t>
        </is>
      </c>
      <c r="B15" t="inlineStr">
        <is>
          <t>PRAT DE LLOBREGAT (EL)</t>
        </is>
      </c>
      <c r="C15" t="n">
        <v>41.31147</v>
      </c>
      <c r="D15" t="n">
        <v>2.12744</v>
      </c>
      <c r="E15" t="inlineStr">
        <is>
          <t>Existing</t>
        </is>
      </c>
      <c r="G15" t="n">
        <v>90</v>
      </c>
      <c r="H15" t="n">
        <v>60</v>
      </c>
      <c r="I15" t="inlineStr">
        <is>
          <t>Heizwasser</t>
        </is>
      </c>
      <c r="J15" t="n">
        <v>1.6</v>
      </c>
      <c r="L15" t="inlineStr">
        <is>
          <t>Wärme- und Kältenetze | Energie Barcelona | Stadtverwaltung von Barcelona</t>
        </is>
      </c>
      <c r="M15" t="inlineStr">
        <is>
          <t>Home - Districlima Barcelona</t>
        </is>
      </c>
      <c r="N15" t="inlineStr">
        <is>
          <t>La xarxa d'Ecoenergies | Veolia</t>
        </is>
      </c>
    </row>
    <row r="16">
      <c r="A16" t="inlineStr">
        <is>
          <t>ES16010590063010E</t>
        </is>
      </c>
      <c r="B16" t="inlineStr">
        <is>
          <t>Crispijana</t>
        </is>
      </c>
      <c r="C16" t="n">
        <v>42.853</v>
      </c>
      <c r="D16" t="n">
        <v>-2.743</v>
      </c>
      <c r="E16" t="inlineStr">
        <is>
          <t>Existing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n">
        <v>5</v>
      </c>
      <c r="K16" t="inlineStr">
        <is>
          <t>Netz vorhanden aber sehr weit entfernt, sehr begrenzt</t>
        </is>
      </c>
    </row>
    <row r="17">
      <c r="A17" t="inlineStr">
        <is>
          <t>DETP_BE03</t>
        </is>
      </c>
      <c r="B17" t="inlineStr">
        <is>
          <t>Waßmannsdorf</t>
        </is>
      </c>
      <c r="C17" t="n">
        <v>52.388</v>
      </c>
      <c r="D17" t="n">
        <v>13.4669</v>
      </c>
      <c r="E17" t="inlineStr">
        <is>
          <t>Existing</t>
        </is>
      </c>
      <c r="F17" t="inlineStr">
        <is>
          <t>Existing</t>
        </is>
      </c>
      <c r="G17" t="n">
        <v>130</v>
      </c>
      <c r="H17" t="n">
        <v>56</v>
      </c>
      <c r="I17" t="inlineStr">
        <is>
          <t>Heizwasser</t>
        </is>
      </c>
      <c r="J17" t="n">
        <v>0</v>
      </c>
      <c r="K17" t="inlineStr">
        <is>
          <t>Anlage an Fernwärmenetz angebunden</t>
        </is>
      </c>
      <c r="L17" t="inlineStr">
        <is>
          <t>Projekt | Berlin spart Energie</t>
        </is>
      </c>
      <c r="M17" t="inlineStr">
        <is>
          <t>Technische Anschlussbedingungen (TAB) für den Anschluss an Wärmenetze</t>
        </is>
      </c>
    </row>
    <row r="18">
      <c r="A18" t="inlineStr">
        <is>
          <t>DETP_MV03.03.1 wbu1437</t>
        </is>
      </c>
      <c r="B18" t="inlineStr">
        <is>
          <t>Rostock - Bramow</t>
        </is>
      </c>
      <c r="C18" t="n">
        <v>54.1042</v>
      </c>
      <c r="D18" t="n">
        <v>12.0963</v>
      </c>
      <c r="E18" t="inlineStr">
        <is>
          <t>Existing</t>
        </is>
      </c>
      <c r="F18" t="inlineStr">
        <is>
          <t>Planned</t>
        </is>
      </c>
      <c r="G18" t="n">
        <v>130</v>
      </c>
      <c r="H18" t="n">
        <v>60</v>
      </c>
      <c r="I18" t="inlineStr">
        <is>
          <t>Heizwasser</t>
        </is>
      </c>
      <c r="J18" t="n">
        <v>0</v>
      </c>
      <c r="K18" t="inlineStr">
        <is>
          <t>Direkte anbindung geplant</t>
        </is>
      </c>
      <c r="L18" t="inlineStr">
        <is>
          <t>2022-06-16 Wärmeplan_Rostock_FINAL.444911.pdf</t>
        </is>
      </c>
      <c r="M18" t="inlineStr">
        <is>
          <t>Geoport.HRO – Desktop</t>
        </is>
      </c>
      <c r="N18" t="inlineStr">
        <is>
          <t>Preisblatt_WAERME_BASIS_HRO_2022.pdf</t>
        </is>
      </c>
      <c r="O18" t="inlineStr">
        <is>
          <t>Kraftwerk Rostock</t>
        </is>
      </c>
    </row>
    <row r="19">
      <c r="A19" t="inlineStr">
        <is>
          <t>CZ8119-713767-00845451-4/1U</t>
        </is>
      </c>
      <c r="B19" t="inlineStr">
        <is>
          <t>UCOV Ostrava - Privoz</t>
        </is>
      </c>
      <c r="C19" t="n">
        <v>49.8555</v>
      </c>
      <c r="D19" t="n">
        <v>18.2453</v>
      </c>
      <c r="E19" t="inlineStr">
        <is>
          <t>Existing</t>
        </is>
      </c>
      <c r="G19" t="inlineStr">
        <is>
          <t>-</t>
        </is>
      </c>
      <c r="H19" t="inlineStr">
        <is>
          <t>-</t>
        </is>
      </c>
      <c r="I19" t="inlineStr">
        <is>
          <t>Heizwasser</t>
        </is>
      </c>
      <c r="J19" t="n">
        <v>0.12</v>
      </c>
      <c r="K19" t="inlineStr">
        <is>
          <t>keine sehr genbauen Daten</t>
        </is>
      </c>
      <c r="L19" t="inlineStr">
        <is>
          <t>In Ostrava findet eine Generalüberholung der Heißwasserleitung ihren Höhepunkt. Es versorgt einen der größten Stadtbezirke mit Wärme — ČT24 — Tschechisches Fernsehen</t>
        </is>
      </c>
      <c r="M19" t="inlineStr">
        <is>
          <t>Unsere Aktivitäten | Gemeinsam 2030</t>
        </is>
      </c>
      <c r="N19" t="inlineStr">
        <is>
          <t>AP_SECAP_Ostrava.pdf</t>
        </is>
      </c>
      <c r="O19" t="inlineStr">
        <is>
          <t>ArcGIS - Eigene Karte</t>
        </is>
      </c>
    </row>
    <row r="20">
      <c r="A20" t="inlineStr">
        <is>
          <t>BGWT56784_00_01</t>
        </is>
      </c>
      <c r="B20" t="inlineStr">
        <is>
          <t>UWWTP Plovdiv</t>
        </is>
      </c>
      <c r="C20" t="n">
        <v>42.1402</v>
      </c>
      <c r="D20" t="n">
        <v>24.81494</v>
      </c>
      <c r="E20" t="inlineStr">
        <is>
          <t>Existing</t>
        </is>
      </c>
      <c r="G20" t="inlineStr">
        <is>
          <t>-</t>
        </is>
      </c>
      <c r="H20" t="inlineStr">
        <is>
          <t>-</t>
        </is>
      </c>
      <c r="I20" t="inlineStr">
        <is>
          <t>Heizwasser</t>
        </is>
      </c>
      <c r="J20" t="n">
        <v>0.73</v>
      </c>
      <c r="L20" t="inlineStr">
        <is>
          <t>EVN - EVN ТР</t>
        </is>
      </c>
      <c r="M20" t="inlineStr">
        <is>
          <t>🔥 Eco-friendly district heating in Plovdiv, Bulgaria.   🏙️ Efficient and eco-friendly heat generation for towns and cities is a cornerstone of the energy transition. In the city of Plovdiv, home to… | Bosch Home Comfort Group</t>
        </is>
      </c>
      <c r="N20" t="inlineStr">
        <is>
          <t>TP-Image.aspx</t>
        </is>
      </c>
    </row>
    <row r="21">
      <c r="A21" t="inlineStr">
        <is>
          <t>DETP_HB18-1</t>
        </is>
      </c>
      <c r="B21" t="inlineStr">
        <is>
          <t>Kläranlage Seehausen</t>
        </is>
      </c>
      <c r="C21" t="n">
        <v>53.1159</v>
      </c>
      <c r="D21" t="n">
        <v>8.715070000000001</v>
      </c>
      <c r="E21" t="inlineStr">
        <is>
          <t>Existing</t>
        </is>
      </c>
      <c r="G21" t="n">
        <v>130</v>
      </c>
      <c r="H21" t="n">
        <v>50</v>
      </c>
      <c r="I21" t="inlineStr">
        <is>
          <t>Heizwasser</t>
        </is>
      </c>
      <c r="J21" t="n">
        <v>5.98</v>
      </c>
      <c r="L21" t="inlineStr">
        <is>
          <t>Fernwärme-Verfügbarkeit in Bremen &amp; Bremerhaven | wesernetz</t>
        </is>
      </c>
      <c r="M21" t="inlineStr">
        <is>
          <t>Anlage+1.pptx.pdf</t>
        </is>
      </c>
      <c r="N21" t="inlineStr">
        <is>
          <t>broschuere_waermestrategie_web_ds.pdf</t>
        </is>
      </c>
      <c r="O21" t="inlineStr">
        <is>
          <t>TAB Anlage1 Versorgungsgebiet Bremen.pdf</t>
        </is>
      </c>
    </row>
    <row r="22">
      <c r="A22" t="inlineStr">
        <is>
          <t>DETP_ST151541000001</t>
        </is>
      </c>
      <c r="B22" t="inlineStr">
        <is>
          <t>Bitterfeld-Wolfen</t>
        </is>
      </c>
      <c r="C22" t="n">
        <v>51.6518</v>
      </c>
      <c r="D22" t="n">
        <v>12.3106</v>
      </c>
      <c r="E22" t="inlineStr">
        <is>
          <t>Existing</t>
        </is>
      </c>
      <c r="G22" t="n">
        <v>110</v>
      </c>
      <c r="H22" t="n">
        <v>65</v>
      </c>
      <c r="I22" t="inlineStr">
        <is>
          <t>Heizwasser</t>
        </is>
      </c>
      <c r="J22" t="n">
        <v>2.2</v>
      </c>
      <c r="K22" t="inlineStr">
        <is>
          <t>Falsche koordinaten 51,663390 12,287500</t>
        </is>
      </c>
      <c r="L22" t="inlineStr">
        <is>
          <t>KWP_Bitterfeld-Wolfen_Auslegung_20250909.pdf</t>
        </is>
      </c>
      <c r="M22" t="inlineStr">
        <is>
          <t>Anlage_6_TAB_Heizwasser.pdf</t>
        </is>
      </c>
    </row>
    <row r="23">
      <c r="A23" t="inlineStr">
        <is>
          <t>DETP_NW904</t>
        </is>
      </c>
      <c r="B23" t="inlineStr">
        <is>
          <t>Duisburg-Kaßlerfeld</t>
        </is>
      </c>
      <c r="C23" t="n">
        <v>51.4438</v>
      </c>
      <c r="D23" t="n">
        <v>6.73166</v>
      </c>
      <c r="E23" t="inlineStr">
        <is>
          <t>Existing</t>
        </is>
      </c>
      <c r="G23" t="n">
        <v>115</v>
      </c>
      <c r="H23" t="inlineStr">
        <is>
          <t>-</t>
        </is>
      </c>
      <c r="I23" t="inlineStr">
        <is>
          <t>Heizwasser</t>
        </is>
      </c>
      <c r="J23" t="n">
        <v>1.84</v>
      </c>
      <c r="L23" t="inlineStr">
        <is>
          <t>DU heizt |</t>
        </is>
      </c>
      <c r="M23" t="inlineStr">
        <is>
          <t>Stadtwerke Duisburg: Fernwärme-Bedarf steigt in den Morgenstunden um rund 20 Prozent – Rundschau Duisburg</t>
        </is>
      </c>
    </row>
    <row r="24">
      <c r="A24" t="inlineStr">
        <is>
          <t>PLWL0011</t>
        </is>
      </c>
      <c r="B24" t="inlineStr">
        <is>
          <t>Centralna Oczyszczalnia Ścieków w Koziegłowach</t>
        </is>
      </c>
      <c r="C24" t="n">
        <v>52.4511132</v>
      </c>
      <c r="D24" t="n">
        <v>16.98052986</v>
      </c>
      <c r="E24" t="inlineStr">
        <is>
          <t>Existing</t>
        </is>
      </c>
      <c r="F24" t="inlineStr">
        <is>
          <t>Planned</t>
        </is>
      </c>
      <c r="G24" t="n">
        <v>125</v>
      </c>
      <c r="I24" t="inlineStr">
        <is>
          <t>Heizwasser</t>
        </is>
      </c>
      <c r="J24" t="n">
        <v>0</v>
      </c>
      <c r="K24" t="inlineStr">
        <is>
          <t>Direkt angebunden</t>
        </is>
      </c>
      <c r="L24" t="inlineStr">
        <is>
          <t>Wärmerückgewinnung aus Abwasser in Poznań. Konzept für den Bau von 21 MW Wärmepumpen</t>
        </is>
      </c>
      <c r="M24" t="inlineStr">
        <is>
          <t>14.02.2024_Wytyczne_-do-projektowania_sieci-i-wezlow.pdf</t>
        </is>
      </c>
    </row>
    <row r="25">
      <c r="A25" t="inlineStr">
        <is>
          <t>RO2GL_51</t>
        </is>
      </c>
      <c r="B25" t="inlineStr">
        <is>
          <t>ROWP GALATI</t>
        </is>
      </c>
      <c r="C25" t="n">
        <v>45.441</v>
      </c>
      <c r="D25" t="n">
        <v>28.041</v>
      </c>
      <c r="E25" t="inlineStr">
        <is>
          <t>Existing</t>
        </is>
      </c>
      <c r="J25" t="n">
        <v>0.793</v>
      </c>
      <c r="K25" t="inlineStr">
        <is>
          <t xml:space="preserve">Koordinaten Anlage falsch / 45,406389  28,002566 </t>
        </is>
      </c>
      <c r="L25" t="inlineStr">
        <is>
          <t>Entscheidung Nr. 125/2020</t>
        </is>
      </c>
      <c r="M25" t="inlineStr">
        <is>
          <t>HCL 125.pdf</t>
        </is>
      </c>
    </row>
    <row r="26">
      <c r="A26" t="inlineStr">
        <is>
          <t>DETP_BW2125100000014</t>
        </is>
      </c>
      <c r="B26" t="inlineStr">
        <is>
          <t>SKA Karlsruhe Neureut</t>
        </is>
      </c>
      <c r="C26" t="n">
        <v>49.0445</v>
      </c>
      <c r="D26" t="n">
        <v>8.359389999999999</v>
      </c>
      <c r="E26" t="inlineStr">
        <is>
          <t>Existing</t>
        </is>
      </c>
      <c r="F26" t="inlineStr">
        <is>
          <t>Planned</t>
        </is>
      </c>
      <c r="G26" t="n">
        <v>120</v>
      </c>
      <c r="H26" t="n">
        <v>50</v>
      </c>
      <c r="I26" t="inlineStr">
        <is>
          <t>Heizwasser</t>
        </is>
      </c>
      <c r="J26" t="n">
        <v>0</v>
      </c>
      <c r="K26" t="inlineStr">
        <is>
          <t>Sehr nah zu bestehendem FWN in Neureut, HKW wird H2 ready sein</t>
        </is>
      </c>
      <c r="L26" t="inlineStr">
        <is>
          <t>Fernwärmeleitungsnetz | Fachpläne</t>
        </is>
      </c>
      <c r="M26" t="inlineStr">
        <is>
          <t>Karlsruhe: Energieleitplan der Stadt Karlsruhe</t>
        </is>
      </c>
      <c r="N26" t="inlineStr">
        <is>
          <t>TAB-Booklet-inkl-Korrekturblatt.pdf</t>
        </is>
      </c>
    </row>
    <row r="27">
      <c r="A27" t="inlineStr">
        <is>
          <t>ATTP_6-M3631054R0</t>
        </is>
      </c>
      <c r="B27" t="inlineStr">
        <is>
          <t>Gratkorn</t>
        </is>
      </c>
      <c r="C27" t="n">
        <v>47.1341111979</v>
      </c>
      <c r="D27" t="n">
        <v>15.3340554504</v>
      </c>
      <c r="E27" t="inlineStr">
        <is>
          <t>Existing</t>
        </is>
      </c>
      <c r="G27" t="n">
        <v>110</v>
      </c>
      <c r="H27" t="n">
        <v>50</v>
      </c>
      <c r="I27" t="inlineStr">
        <is>
          <t>Heizwasser</t>
        </is>
      </c>
      <c r="J27" t="inlineStr">
        <is>
          <t>-</t>
        </is>
      </c>
      <c r="K27" t="inlineStr">
        <is>
          <t>Falsche Koordinaten 47,124132  15,342714 / Netz vorhanden in Ortsteil aber kein Plan</t>
        </is>
      </c>
      <c r="L27" t="inlineStr">
        <is>
          <t>warmeversorgung.JPG (1136×1200)</t>
        </is>
      </c>
      <c r="M27" t="inlineStr">
        <is>
          <t>Microsoft Word - V 1.0_TechnRichtlinWGN_08122015</t>
        </is>
      </c>
    </row>
    <row r="28">
      <c r="A28" t="inlineStr">
        <is>
          <t>IT05000000000043</t>
        </is>
      </c>
      <c r="B28" t="inlineStr">
        <is>
          <t>Arzignano_Via_Altura</t>
        </is>
      </c>
      <c r="C28" t="n">
        <v>45.502</v>
      </c>
      <c r="D28" t="n">
        <v>11.377</v>
      </c>
      <c r="E28" t="inlineStr">
        <is>
          <t>Existing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K28" t="inlineStr">
        <is>
          <t>Kleines netz vorhanden aber keine weiteren Daten und wrsl nicht lohnenswert</t>
        </is>
      </c>
      <c r="L28" t="inlineStr">
        <is>
          <t>ARZIGNANO abbatte la CO2: la nuova centrale di cogenerazione | TViWeb</t>
        </is>
      </c>
    </row>
    <row r="29">
      <c r="A29" t="inlineStr">
        <is>
          <t>DETP_NW906</t>
        </is>
      </c>
      <c r="B29" t="inlineStr">
        <is>
          <t>Duisburg-Alte Emscher</t>
        </is>
      </c>
      <c r="C29" t="n">
        <v>51.4915</v>
      </c>
      <c r="D29" t="n">
        <v>6.72214</v>
      </c>
      <c r="E29" t="inlineStr">
        <is>
          <t>Existing</t>
        </is>
      </c>
      <c r="G29" t="n">
        <v>115</v>
      </c>
      <c r="H29" t="inlineStr">
        <is>
          <t>-</t>
        </is>
      </c>
      <c r="I29" t="inlineStr">
        <is>
          <t>Heizwasser</t>
        </is>
      </c>
      <c r="J29" t="n">
        <v>0.15</v>
      </c>
      <c r="K29" t="inlineStr">
        <is>
          <t>sehr nah + Stahlindustrie</t>
        </is>
      </c>
      <c r="L29" t="inlineStr">
        <is>
          <t>DU heizt |</t>
        </is>
      </c>
      <c r="M29" t="inlineStr">
        <is>
          <t>Stadtwerke Duisburg: Fernwärme-Bedarf steigt in den Morgenstunden um rund 20 Prozent – Rundschau Duisburg</t>
        </is>
      </c>
    </row>
    <row r="30">
      <c r="A30" t="inlineStr">
        <is>
          <t>DETP_HE064140000101</t>
        </is>
      </c>
      <c r="B30" t="inlineStr">
        <is>
          <t>Wiesbaden / Mitte</t>
        </is>
      </c>
      <c r="C30" t="n">
        <v>50.0556</v>
      </c>
      <c r="D30" t="n">
        <v>8.252929999999999</v>
      </c>
      <c r="E30" t="inlineStr">
        <is>
          <t>Existing</t>
        </is>
      </c>
      <c r="G30" t="n">
        <v>120</v>
      </c>
      <c r="H30" t="n">
        <v>50</v>
      </c>
      <c r="I30" t="inlineStr">
        <is>
          <t>Heizwasser</t>
        </is>
      </c>
      <c r="J30" t="n">
        <v>0.5</v>
      </c>
      <c r="L30" t="inlineStr">
        <is>
          <t>Strategische Wärmeplanung • ProKlima Wiesbaden</t>
        </is>
      </c>
      <c r="M30" t="inlineStr">
        <is>
          <t>TAB-FW-alle-Netze.pdf</t>
        </is>
      </c>
    </row>
    <row r="31">
      <c r="A31" t="inlineStr">
        <is>
          <t>DETP_NW905</t>
        </is>
      </c>
      <c r="B31" t="inlineStr">
        <is>
          <t>Emscherkläranlage</t>
        </is>
      </c>
      <c r="C31" t="n">
        <v>51.5357</v>
      </c>
      <c r="D31" t="n">
        <v>6.77614</v>
      </c>
      <c r="E31" t="inlineStr">
        <is>
          <t>Existing</t>
        </is>
      </c>
      <c r="G31" t="n">
        <v>115</v>
      </c>
      <c r="H31" t="inlineStr">
        <is>
          <t>-</t>
        </is>
      </c>
      <c r="I31" t="inlineStr">
        <is>
          <t>Heizwasser</t>
        </is>
      </c>
      <c r="J31" t="n">
        <v>0.1</v>
      </c>
      <c r="K31" t="inlineStr">
        <is>
          <t>Netz direkt zu Anlage</t>
        </is>
      </c>
      <c r="L31" t="inlineStr">
        <is>
          <t>DU heizt |</t>
        </is>
      </c>
      <c r="M31" t="inlineStr">
        <is>
          <t>Stadtwerke Duisburg: Fernwärme-Bedarf steigt in den Morgenstunden um rund 20 Prozent – Rundschau Duisburg</t>
        </is>
      </c>
    </row>
    <row r="32">
      <c r="A32" t="inlineStr">
        <is>
          <t>ATTP_6-M3489301R0</t>
        </is>
      </c>
      <c r="B32" t="inlineStr">
        <is>
          <t>Graz-Gössendorf</t>
        </is>
      </c>
      <c r="C32" t="n">
        <v>46.9963889758</v>
      </c>
      <c r="D32" t="n">
        <v>15.4720276734</v>
      </c>
      <c r="E32" t="inlineStr">
        <is>
          <t>Existing</t>
        </is>
      </c>
      <c r="F32" t="inlineStr">
        <is>
          <t>Planned</t>
        </is>
      </c>
      <c r="G32" t="n">
        <v>120</v>
      </c>
      <c r="H32" t="n">
        <v>60</v>
      </c>
      <c r="I32" t="inlineStr">
        <is>
          <t>Heizwasser</t>
        </is>
      </c>
      <c r="J32" t="n">
        <v>0</v>
      </c>
      <c r="K32" t="inlineStr">
        <is>
          <t>Geplante Nutzung Abwärme des Heizwerks auf der Anlage</t>
        </is>
      </c>
      <c r="L32" t="inlineStr">
        <is>
          <t>Wärmeversorgung Konzept &amp; Präsentation zum Herunterladen - Gössendorf - Startseite</t>
        </is>
      </c>
      <c r="M32" t="inlineStr">
        <is>
          <t>Unknown</t>
        </is>
      </c>
      <c r="N32" t="inlineStr">
        <is>
          <t>Microsoft Word - 807718 Endbericht final_mb.doc</t>
        </is>
      </c>
    </row>
    <row r="33">
      <c r="A33" t="inlineStr">
        <is>
          <t>DETP_BYM-K0001</t>
        </is>
      </c>
      <c r="B33" t="inlineStr">
        <is>
          <t>München II - Gut Marienhof</t>
        </is>
      </c>
      <c r="C33" t="n">
        <v>48.2949</v>
      </c>
      <c r="D33" t="n">
        <v>11.6988</v>
      </c>
      <c r="E33" t="inlineStr">
        <is>
          <t>Existing</t>
        </is>
      </c>
      <c r="G33" t="n">
        <v>110</v>
      </c>
      <c r="H33" t="n">
        <v>60</v>
      </c>
      <c r="I33" t="inlineStr">
        <is>
          <t>Heizwasser</t>
        </is>
      </c>
      <c r="J33" t="n">
        <v>2.55</v>
      </c>
      <c r="K33" t="inlineStr">
        <is>
          <t>Nächstes FWN ist  in Neufahrn</t>
        </is>
      </c>
      <c r="L33" t="inlineStr">
        <is>
          <t>Neufahrn</t>
        </is>
      </c>
      <c r="M33" t="inlineStr">
        <is>
          <t>(Microsoft PowerPoint - Schaltschema-indirekt Evonik.ppt [Kompatibilit\344tsmodus])</t>
        </is>
      </c>
    </row>
    <row r="34">
      <c r="A34" t="inlineStr">
        <is>
          <t>IT03160128000457</t>
        </is>
      </c>
      <c r="B34" t="inlineStr">
        <is>
          <t>Dp01514602_Milano_S_Rocco</t>
        </is>
      </c>
      <c r="C34" t="n">
        <v>45.3932490925</v>
      </c>
      <c r="D34" t="n">
        <v>9.1836996625</v>
      </c>
      <c r="E34" t="inlineStr">
        <is>
          <t>Existing</t>
        </is>
      </c>
      <c r="I34" t="inlineStr">
        <is>
          <t>Heizwasser</t>
        </is>
      </c>
      <c r="J34" t="n">
        <v>3</v>
      </c>
      <c r="L34" t="inlineStr">
        <is>
          <t>A2A-Fernwärme, in Mailand wächst sie wieder | ECO aus den STÄDTEN | Neuigkeiten zur städtischen Umwelt</t>
        </is>
      </c>
      <c r="M34" t="inlineStr">
        <is>
          <t>Company_Profile_ITA_Febbraio_2024_DIGITALE-2.pdf</t>
        </is>
      </c>
      <c r="N34" t="inlineStr">
        <is>
          <t>Il teleriscaldamento per l’area metropolitana di Milano: un grande progetto a rilevanza nazionale</t>
        </is>
      </c>
      <c r="O34" t="inlineStr">
        <is>
          <t>Fernwärme – ATMOS</t>
        </is>
      </c>
      <c r="P34" t="inlineStr">
        <is>
          <t>Fernwärme für den Milanofiori-Komplex | Viessmann DE</t>
        </is>
      </c>
    </row>
    <row r="35">
      <c r="A35" t="inlineStr">
        <is>
          <t>ES16200690005010E</t>
        </is>
      </c>
      <c r="B35" t="inlineStr">
        <is>
          <t>Loiola</t>
        </is>
      </c>
      <c r="C35" t="n">
        <v>43.3</v>
      </c>
      <c r="D35" t="n">
        <v>-1.961</v>
      </c>
      <c r="E35" t="inlineStr">
        <is>
          <t>Existing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Netz vorhanden, sehr begrenzt, Nahwärmenetze</t>
        </is>
      </c>
      <c r="L35" t="inlineStr">
        <is>
          <t>Hotmaps_D.6.3_SanSebastian-HC-Strategies_FINAL_reduced.pdf</t>
        </is>
      </c>
      <c r="M35" t="inlineStr">
        <is>
          <t>Fernwärme Txomin Enea - Fernwärme</t>
        </is>
      </c>
    </row>
    <row r="36">
      <c r="A36" t="inlineStr">
        <is>
          <t>PLMP0016</t>
        </is>
      </c>
      <c r="B36" t="inlineStr">
        <is>
          <t>Kraków-Kujawy</t>
        </is>
      </c>
      <c r="C36" t="n">
        <v>50.0527</v>
      </c>
      <c r="D36" t="n">
        <v>20.1048</v>
      </c>
      <c r="E36" t="inlineStr">
        <is>
          <t>Existing</t>
        </is>
      </c>
      <c r="I36" t="inlineStr">
        <is>
          <t>Heizwasser</t>
        </is>
      </c>
      <c r="J36" t="n">
        <v>1.52</v>
      </c>
      <c r="L36" t="inlineStr">
        <is>
          <t>MapaCiepa_A3_poziom_20200305_internet_eng.pdf</t>
        </is>
      </c>
      <c r="M36" t="inlineStr">
        <is>
          <t>https://bip.mpec.krakow.pl/attachments/download/615?utm_source=chatgpt.com</t>
        </is>
      </c>
    </row>
    <row r="37">
      <c r="A37" t="inlineStr">
        <is>
          <t>DETP_NW1502</t>
        </is>
      </c>
      <c r="B37" t="inlineStr">
        <is>
          <t>Bottrop</t>
        </is>
      </c>
      <c r="C37" t="n">
        <v>51.5109</v>
      </c>
      <c r="D37" t="n">
        <v>6.98092</v>
      </c>
      <c r="E37" t="inlineStr">
        <is>
          <t>Existing</t>
        </is>
      </c>
      <c r="G37" t="n">
        <v>130</v>
      </c>
      <c r="H37" t="n">
        <v>70</v>
      </c>
      <c r="I37" t="inlineStr">
        <is>
          <t>Heizwasser</t>
        </is>
      </c>
      <c r="J37" t="n">
        <v>0.704</v>
      </c>
      <c r="K37" t="inlineStr">
        <is>
          <t>Potenziell auch kürzere Anbindung, aber Waldgebiet</t>
        </is>
      </c>
      <c r="L37" t="inlineStr">
        <is>
          <t>Versorgungsgebiet straßengenau prüfen und Fernwärme anfragen</t>
        </is>
      </c>
      <c r="M37" t="inlineStr">
        <is>
          <t>20240909_TAB_E-BOT-GE-HRT_E-Bredeney_web.pdf</t>
        </is>
      </c>
    </row>
    <row r="38">
      <c r="A38" t="inlineStr">
        <is>
          <t>DETP_RP102380095</t>
        </is>
      </c>
      <c r="B38" t="inlineStr">
        <is>
          <t>Mainz</t>
        </is>
      </c>
      <c r="C38" t="n">
        <v>50.0308</v>
      </c>
      <c r="D38" t="n">
        <v>8.216989999999999</v>
      </c>
      <c r="E38" t="inlineStr">
        <is>
          <t>Existing</t>
        </is>
      </c>
      <c r="G38" t="n">
        <v>90</v>
      </c>
      <c r="H38" t="n">
        <v>45</v>
      </c>
      <c r="I38" t="inlineStr">
        <is>
          <t>Heizwasser</t>
        </is>
      </c>
      <c r="K38" t="inlineStr">
        <is>
          <t>Netz vorhanden aber keine Daten</t>
        </is>
      </c>
      <c r="L38" t="inlineStr">
        <is>
          <t>B-MZSW-001</t>
        </is>
      </c>
      <c r="M38" t="inlineStr">
        <is>
          <t>m_waermemasterplan_praesentation-2.pdf</t>
        </is>
      </c>
      <c r="N38" t="inlineStr">
        <is>
          <t>mainzer_fernwaerme_tab.pdf</t>
        </is>
      </c>
    </row>
    <row r="39">
      <c r="A39" t="inlineStr">
        <is>
          <t>DETP_BYDON-K0001</t>
        </is>
      </c>
      <c r="B39" t="inlineStr">
        <is>
          <t>Augsburg</t>
        </is>
      </c>
      <c r="C39" t="n">
        <v>48.4137</v>
      </c>
      <c r="D39" t="n">
        <v>10.8884</v>
      </c>
      <c r="E39" t="inlineStr">
        <is>
          <t>Existing</t>
        </is>
      </c>
      <c r="G39" t="n">
        <v>140</v>
      </c>
      <c r="H39" t="n">
        <v>45</v>
      </c>
      <c r="J39" t="n">
        <v>1.16</v>
      </c>
      <c r="K39" t="inlineStr">
        <is>
          <t>Zukünftiges FWG</t>
        </is>
      </c>
      <c r="L39" t="inlineStr">
        <is>
          <t>Wärme Verfügbarkeit - swa Netze GmbH | Atlas</t>
        </is>
      </c>
      <c r="M39" t="inlineStr">
        <is>
          <t>privat-gesamt</t>
        </is>
      </c>
      <c r="N39" t="inlineStr">
        <is>
          <t>Microsoft Word - TAB-HW 2022_2022-11-01.docx</t>
        </is>
      </c>
      <c r="O39" t="inlineStr">
        <is>
          <t>9007_Transformation-Best-practice_fh</t>
        </is>
      </c>
    </row>
    <row r="40">
      <c r="A40" t="inlineStr">
        <is>
          <t>FR037635102000</t>
        </is>
      </c>
      <c r="B40" t="inlineStr">
        <is>
          <t>LE HAVRE</t>
        </is>
      </c>
      <c r="C40" t="n">
        <v>49.477971737</v>
      </c>
      <c r="D40" t="n">
        <v>0.1518600496</v>
      </c>
      <c r="E40" t="inlineStr">
        <is>
          <t>Existing</t>
        </is>
      </c>
      <c r="G40" t="n">
        <v>120</v>
      </c>
      <c r="I40" t="inlineStr">
        <is>
          <t>Heizwasser</t>
        </is>
      </c>
      <c r="J40" t="n">
        <v>1.39</v>
      </c>
      <c r="K40" t="inlineStr">
        <is>
          <t>Anlage liegt auf Insel</t>
        </is>
      </c>
      <c r="L40" t="inlineStr">
        <is>
          <t>Carte nationale des réseaux de chaleur et de froid en France</t>
        </is>
      </c>
      <c r="M40" t="inlineStr">
        <is>
          <t>Impression</t>
        </is>
      </c>
    </row>
    <row r="41">
      <c r="A41" t="inlineStr">
        <is>
          <t>IT03160128000456</t>
        </is>
      </c>
      <c r="B41" t="inlineStr">
        <is>
          <t>Dp01514601_Milano_Nosedo</t>
        </is>
      </c>
      <c r="C41" t="n">
        <v>45.4264136809</v>
      </c>
      <c r="D41" t="n">
        <v>9.2217094389</v>
      </c>
      <c r="E41" t="inlineStr">
        <is>
          <t>Existing</t>
        </is>
      </c>
      <c r="I41" t="inlineStr">
        <is>
          <t>Heizwasser</t>
        </is>
      </c>
      <c r="J41" t="n">
        <v>3.81</v>
      </c>
      <c r="L41" t="inlineStr">
        <is>
          <t>A2A-Fernwärme, in Mailand wächst sie wieder | ECO aus den STÄDTEN | Neuigkeiten zur städtischen Umwelt</t>
        </is>
      </c>
      <c r="M41" t="inlineStr">
        <is>
          <t>Company_Profile_ITA_Febbraio_2024_DIGITALE-2.pdf</t>
        </is>
      </c>
      <c r="N41" t="inlineStr">
        <is>
          <t>Il teleriscaldamento per l’area metropolitana di Milano: un grande progetto a rilevanza nazionale</t>
        </is>
      </c>
    </row>
    <row r="42">
      <c r="A42" t="inlineStr">
        <is>
          <t>UKENNE_NU_TP000012</t>
        </is>
      </c>
      <c r="B42" t="inlineStr">
        <is>
          <t>MIDDLESBOROUGH   STW</t>
        </is>
      </c>
      <c r="C42" t="n">
        <v>54.60887353</v>
      </c>
      <c r="D42" t="n">
        <v>-1.132672953</v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Kein Netz in der näheren Umgebung geplant, aber poitenziell interessanter Standort</t>
        </is>
      </c>
    </row>
    <row r="43">
      <c r="A43" t="inlineStr">
        <is>
          <t>UKENNE_YW_TP000098</t>
        </is>
      </c>
      <c r="B43" t="inlineStr">
        <is>
          <t>LEEDS (KNOSTROP) STW</t>
        </is>
      </c>
      <c r="C43" t="n">
        <v>53.77159342</v>
      </c>
      <c r="D43" t="n">
        <v>-1.47577525</v>
      </c>
      <c r="E43" t="inlineStr">
        <is>
          <t>Existing</t>
        </is>
      </c>
      <c r="G43" t="n">
        <v>100</v>
      </c>
      <c r="H43" t="inlineStr">
        <is>
          <t>-</t>
        </is>
      </c>
      <c r="I43" t="inlineStr">
        <is>
          <t>Heizwasser</t>
        </is>
      </c>
      <c r="J43" t="n">
        <v>0.83</v>
      </c>
      <c r="K43" t="inlineStr">
        <is>
          <t>Netz direkt neben Anlage in Erwägung gezogen/Falsche Koordinaten 53,779774 -1,489746</t>
        </is>
      </c>
      <c r="L43" t="inlineStr">
        <is>
          <t>Map of the Leeds PIPES district heating network, December 2023</t>
        </is>
      </c>
      <c r="M43" t="inlineStr">
        <is>
          <t>Heat Network Zoning Opportunity Report: Leeds</t>
        </is>
      </c>
      <c r="N43" t="inlineStr">
        <is>
          <t>Laying the ground for heat networks in Leeds - CIBSE Journal</t>
        </is>
      </c>
    </row>
    <row r="44">
      <c r="A44" t="inlineStr">
        <is>
          <t>FIJVP_O000000000036</t>
        </is>
      </c>
      <c r="B44" t="inlineStr">
        <is>
          <t>TP (36) of Helsingin kt.</t>
        </is>
      </c>
      <c r="C44" t="n">
        <v>60.15087</v>
      </c>
      <c r="D44" t="n">
        <v>24.71294</v>
      </c>
      <c r="E44" t="inlineStr">
        <is>
          <t>Existing</t>
        </is>
      </c>
      <c r="F44" t="inlineStr">
        <is>
          <t>Existing</t>
        </is>
      </c>
      <c r="G44" t="n">
        <v>115</v>
      </c>
      <c r="H44" t="n">
        <v>70</v>
      </c>
      <c r="I44" t="inlineStr">
        <is>
          <t>Heizwasser</t>
        </is>
      </c>
      <c r="J44" t="n">
        <v>0</v>
      </c>
      <c r="K44" t="inlineStr">
        <is>
          <t>Direkt angebunden</t>
        </is>
      </c>
      <c r="L44" t="inlineStr">
        <is>
          <t>Suomenoja - power plant in Finland | Fortum</t>
        </is>
      </c>
      <c r="M44" t="inlineStr">
        <is>
          <t>Risto - Fortum_WasteHeatEspoo Distrib.pdf</t>
        </is>
      </c>
    </row>
    <row r="45">
      <c r="A45" t="inlineStr">
        <is>
          <t>PLMP0020</t>
        </is>
      </c>
      <c r="B45" t="inlineStr">
        <is>
          <t>Tarnów</t>
        </is>
      </c>
      <c r="C45" t="n">
        <v>50.02739954</v>
      </c>
      <c r="D45" t="n">
        <v>20.93956188</v>
      </c>
      <c r="E45" t="inlineStr">
        <is>
          <t>Existing</t>
        </is>
      </c>
      <c r="G45" t="n">
        <v>135</v>
      </c>
      <c r="H45" t="n">
        <v>70</v>
      </c>
      <c r="I45" t="inlineStr">
        <is>
          <t>Heizwasser</t>
        </is>
      </c>
      <c r="J45" t="n">
        <v>1.79</v>
      </c>
      <c r="L45" t="inlineStr">
        <is>
          <t>MPEC Tarnów - Informacja o bieżącym stanie sieci ciepłowniczej</t>
        </is>
      </c>
      <c r="M45" t="inlineStr">
        <is>
          <t>&lt;i&gt;Geoportal „TARNOWSKA STREFA CIEPŁA”&lt;/i&gt; – sprawdź dostępność ciepła systemowego - Portal ofertowy_nowy - Geoportale MPEC Tarnów</t>
        </is>
      </c>
      <c r="N45" t="inlineStr">
        <is>
          <t>Tab. 135-70.xlsx</t>
        </is>
      </c>
    </row>
    <row r="46">
      <c r="A46" t="inlineStr">
        <is>
          <t>DETP_BB239</t>
        </is>
      </c>
      <c r="B46" t="inlineStr">
        <is>
          <t>Stahnsdorf</t>
        </is>
      </c>
      <c r="C46" t="n">
        <v>52.377</v>
      </c>
      <c r="D46" t="n">
        <v>13.2482</v>
      </c>
      <c r="E46" t="inlineStr">
        <is>
          <t>Existing</t>
        </is>
      </c>
      <c r="F46" t="inlineStr">
        <is>
          <t>Existing</t>
        </is>
      </c>
      <c r="G46" t="n">
        <v>130</v>
      </c>
      <c r="H46" t="n">
        <v>56</v>
      </c>
      <c r="I46" t="inlineStr">
        <is>
          <t>Heizwasser</t>
        </is>
      </c>
      <c r="J46" t="n">
        <v>0</v>
      </c>
      <c r="K46" t="inlineStr">
        <is>
          <t>Anbindung an Grundschule schon vorhanden</t>
        </is>
      </c>
      <c r="L46" t="inlineStr">
        <is>
          <t>Nahwärmenetz schöpft Potenzial gereinigter Abwässer an Energie ab</t>
        </is>
      </c>
      <c r="M46" t="inlineStr">
        <is>
          <t>Technische Anschlussbedingungen (TAB) für den Anschluss an Wärmenetze</t>
        </is>
      </c>
    </row>
    <row r="47">
      <c r="A47" t="inlineStr">
        <is>
          <t>NL25021</t>
        </is>
      </c>
      <c r="B47" t="inlineStr">
        <is>
          <t>UWWTP BATH</t>
        </is>
      </c>
      <c r="C47" t="n">
        <v>51.39941666</v>
      </c>
      <c r="D47" t="n">
        <v>4.24661666</v>
      </c>
      <c r="E47" t="inlineStr">
        <is>
          <t>Study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Kein bekanntes Fernwärmenetz in der Nähe</t>
        </is>
      </c>
      <c r="L47" t="inlineStr">
        <is>
          <t>Map - Stichting Warmtenetwerk</t>
        </is>
      </c>
    </row>
    <row r="48">
      <c r="A48" t="inlineStr">
        <is>
          <t>NL16010</t>
        </is>
      </c>
      <c r="B48" t="inlineStr">
        <is>
          <t>UWWTP KRALINGSEVEER</t>
        </is>
      </c>
      <c r="C48" t="n">
        <v>51.90855</v>
      </c>
      <c r="D48" t="n">
        <v>4.54195</v>
      </c>
      <c r="E48" t="inlineStr">
        <is>
          <t>Existing</t>
        </is>
      </c>
      <c r="I48" t="inlineStr">
        <is>
          <t>Heizwasser</t>
        </is>
      </c>
      <c r="J48" t="n">
        <v>0.74</v>
      </c>
      <c r="L48" t="inlineStr">
        <is>
          <t>Microsoft PowerPoint - 20160620 AVR - CEWEP</t>
        </is>
      </c>
    </row>
    <row r="49">
      <c r="A49" t="inlineStr">
        <is>
          <t>PLPM0110</t>
        </is>
      </c>
      <c r="B49" t="inlineStr">
        <is>
          <t>International Paper-Kwidzyn Sp z o.o.</t>
        </is>
      </c>
      <c r="C49" t="n">
        <v>53.70720628</v>
      </c>
      <c r="D49" t="n">
        <v>18.92595846</v>
      </c>
      <c r="E49" t="inlineStr">
        <is>
          <t>Existing</t>
        </is>
      </c>
      <c r="G49" t="n">
        <v>125</v>
      </c>
      <c r="H49" t="n">
        <v>68</v>
      </c>
      <c r="I49" t="inlineStr">
        <is>
          <t>Heizwasser</t>
        </is>
      </c>
      <c r="J49" t="n">
        <v>0.8</v>
      </c>
      <c r="L49" t="inlineStr">
        <is>
          <t>Sprawdź czy możesz przyłączyć obiekt – "PEC" Kwidzyn</t>
        </is>
      </c>
      <c r="M49" t="inlineStr">
        <is>
          <t>TR O. Niemyjski.xlsx</t>
        </is>
      </c>
    </row>
    <row r="50">
      <c r="A50" t="inlineStr">
        <is>
          <t>PLLO0010</t>
        </is>
      </c>
      <c r="B50" t="inlineStr">
        <is>
          <t>Goś Łam</t>
        </is>
      </c>
      <c r="C50" t="n">
        <v>51.728</v>
      </c>
      <c r="D50" t="n">
        <v>19.3477</v>
      </c>
      <c r="E50" t="inlineStr">
        <is>
          <t>Existing</t>
        </is>
      </c>
      <c r="F50" t="inlineStr">
        <is>
          <t>Planned</t>
        </is>
      </c>
      <c r="G50" t="n">
        <v>115</v>
      </c>
      <c r="H50" t="n">
        <v>65</v>
      </c>
      <c r="I50" t="inlineStr">
        <is>
          <t>Heizwasser</t>
        </is>
      </c>
      <c r="J50" t="n">
        <v>0</v>
      </c>
      <c r="K50" t="inlineStr">
        <is>
          <t>Direkt angebunden</t>
        </is>
      </c>
      <c r="L50" t="inlineStr">
        <is>
          <t>Wärmerückgewinnung aus dem Łódź GOŚ – Veolia – Energy for Łódź</t>
        </is>
      </c>
      <c r="M50" t="inlineStr">
        <is>
          <t>Tabele-regulacyjne-obowiazujace-nowych-klientow-oraz-odbiorcow-istniejacych-od-01-07-24.pdf</t>
        </is>
      </c>
    </row>
    <row r="51">
      <c r="A51" t="inlineStr">
        <is>
          <t>PLKP0011</t>
        </is>
      </c>
      <c r="B51" t="inlineStr">
        <is>
          <t>Toruń Centralna Oczyszczalnia Ścieków</t>
        </is>
      </c>
      <c r="C51" t="n">
        <v>53.0151</v>
      </c>
      <c r="D51" t="n">
        <v>18.5441</v>
      </c>
      <c r="E51" t="inlineStr">
        <is>
          <t>Existing</t>
        </is>
      </c>
      <c r="F51" t="inlineStr">
        <is>
          <t>Planned</t>
        </is>
      </c>
      <c r="G51" t="n">
        <v>120</v>
      </c>
      <c r="H51" t="n">
        <v>65</v>
      </c>
      <c r="I51" t="inlineStr">
        <is>
          <t>Heizwasser</t>
        </is>
      </c>
      <c r="J51" t="n">
        <v>0</v>
      </c>
      <c r="K51" t="inlineStr">
        <is>
          <t>Direkt angebunden</t>
        </is>
      </c>
      <c r="L51" t="inlineStr">
        <is>
          <t>Eine ungewöhnliche Lösung in Toruń. So will die Stadt Wärme gewinnen - Wiadomości Radio ZET</t>
        </is>
      </c>
      <c r="M51" t="inlineStr">
        <is>
          <t>warunki Batorego 39B.pdf</t>
        </is>
      </c>
    </row>
    <row r="52">
      <c r="A52" t="inlineStr">
        <is>
          <t>DETP_BE01</t>
        </is>
      </c>
      <c r="B52" t="inlineStr">
        <is>
          <t>Ruhleben</t>
        </is>
      </c>
      <c r="C52" t="n">
        <v>52.5316</v>
      </c>
      <c r="D52" t="n">
        <v>13.2317</v>
      </c>
      <c r="E52" t="inlineStr">
        <is>
          <t>Existing</t>
        </is>
      </c>
      <c r="F52" t="inlineStr">
        <is>
          <t>Planned</t>
        </is>
      </c>
      <c r="G52" t="n">
        <v>130</v>
      </c>
      <c r="H52" t="n">
        <v>56</v>
      </c>
      <c r="I52" t="inlineStr">
        <is>
          <t>Heizwasser</t>
        </is>
      </c>
      <c r="J52" t="n">
        <v>0</v>
      </c>
      <c r="K52" t="inlineStr">
        <is>
          <t>Anbindung von Klärwerk bis 2026</t>
        </is>
      </c>
      <c r="L52" t="inlineStr">
        <is>
          <t>Das Energiedreieck Ruhleben</t>
        </is>
      </c>
      <c r="M52" t="inlineStr">
        <is>
          <t>Meilenstein für Berlins Klimaziele - Vattenfall</t>
        </is>
      </c>
      <c r="N52" t="inlineStr">
        <is>
          <t>Technische Anschlussbedingungen (TAB) für den Anschluss an Wärmenetze</t>
        </is>
      </c>
    </row>
    <row r="53">
      <c r="A53" t="inlineStr">
        <is>
          <t>DETP_BW2215100000002</t>
        </is>
      </c>
      <c r="B53" t="inlineStr">
        <is>
          <t>SKA AZV Heidelberg</t>
        </is>
      </c>
      <c r="C53" t="n">
        <v>49.4351</v>
      </c>
      <c r="D53" t="n">
        <v>8.65141</v>
      </c>
      <c r="E53" t="inlineStr">
        <is>
          <t>Existing</t>
        </is>
      </c>
      <c r="F53" t="inlineStr">
        <is>
          <t>Planned</t>
        </is>
      </c>
      <c r="G53" t="n">
        <v>95</v>
      </c>
      <c r="H53" t="n">
        <v>50</v>
      </c>
      <c r="I53" t="inlineStr">
        <is>
          <t>Heizwasser</t>
        </is>
      </c>
      <c r="J53" t="n">
        <v>0</v>
      </c>
      <c r="L53" t="inlineStr">
        <is>
          <t>Fernwärme-Anschlussgebiete - Stadtwerke Heidelberg</t>
        </is>
      </c>
      <c r="M53" t="inlineStr">
        <is>
          <t>Fernwärme in Heidelberg | Heidelberg</t>
        </is>
      </c>
      <c r="N53" t="inlineStr">
        <is>
          <t>Technische Anschlussbedingungen SWH-N GmbH</t>
        </is>
      </c>
    </row>
    <row r="54">
      <c r="A54" t="inlineStr">
        <is>
          <t>BGWT68134_00_01</t>
        </is>
      </c>
      <c r="B54" t="inlineStr">
        <is>
          <t>UWWTP Sofia</t>
        </is>
      </c>
      <c r="C54" t="n">
        <v>42.75628</v>
      </c>
      <c r="D54" t="n">
        <v>23.36976</v>
      </c>
      <c r="E54" t="inlineStr">
        <is>
          <t>Existing</t>
        </is>
      </c>
      <c r="G54" t="inlineStr">
        <is>
          <t>-</t>
        </is>
      </c>
      <c r="H54" t="inlineStr">
        <is>
          <t>-</t>
        </is>
      </c>
      <c r="I54" t="inlineStr">
        <is>
          <t>Heizwasser</t>
        </is>
      </c>
      <c r="J54" t="n">
        <v>2</v>
      </c>
      <c r="L54" t="inlineStr">
        <is>
          <t>Mission Green Sofia: Ways to Decarbonize District Heating</t>
        </is>
      </c>
      <c r="M54" t="inlineStr">
        <is>
          <t>ppar-bulgariadistrictheating.pdf</t>
        </is>
      </c>
      <c r="N54" t="inlineStr">
        <is>
          <t>I.5.3_Енергия_Приложение.pdf</t>
        </is>
      </c>
    </row>
    <row r="55">
      <c r="A55" t="inlineStr">
        <is>
          <t>PLPM0010</t>
        </is>
      </c>
      <c r="B55" t="inlineStr">
        <is>
          <t>Gdańsk-Wschód</t>
        </is>
      </c>
      <c r="C55" t="n">
        <v>54.3414518</v>
      </c>
      <c r="D55" t="n">
        <v>18.7580966</v>
      </c>
      <c r="E55" t="inlineStr">
        <is>
          <t>Existing</t>
        </is>
      </c>
      <c r="G55" t="n">
        <v>122</v>
      </c>
      <c r="H55" t="n">
        <v>67</v>
      </c>
      <c r="I55" t="inlineStr">
        <is>
          <t>Heizwasser</t>
        </is>
      </c>
      <c r="J55" t="n">
        <v>4.76</v>
      </c>
      <c r="K55" t="inlineStr">
        <is>
          <t>Nächster Anschluss weit weg, aber Rafinnerie direkt nebenan</t>
        </is>
      </c>
      <c r="L55" t="inlineStr">
        <is>
          <t>InstrukcjaEksplatacjiMSC</t>
        </is>
      </c>
      <c r="M55" t="inlineStr">
        <is>
          <t>Plan-ograniczen-GPEC-2022-2025-ML-AJ-sig-sig.pdf</t>
        </is>
      </c>
    </row>
    <row r="56">
      <c r="A56" t="inlineStr">
        <is>
          <t>DETP_HE064120006011</t>
        </is>
      </c>
      <c r="B56" t="inlineStr">
        <is>
          <t>Frankfurt am Main / Sindlingen</t>
        </is>
      </c>
      <c r="C56" t="n">
        <v>50.0647</v>
      </c>
      <c r="D56" t="n">
        <v>8.523759999999999</v>
      </c>
      <c r="E56" t="inlineStr">
        <is>
          <t>Existing</t>
        </is>
      </c>
      <c r="G56" t="n">
        <v>140</v>
      </c>
      <c r="H56" t="n">
        <v>50</v>
      </c>
      <c r="I56" t="inlineStr">
        <is>
          <t>Heizwasser/Dampf</t>
        </is>
      </c>
      <c r="J56" t="n">
        <v>1.4</v>
      </c>
      <c r="K56" t="inlineStr">
        <is>
          <t>Nächstes FWN Frankfurt Sindlingen Industriepark, H2 Ready Kraftwerk</t>
        </is>
      </c>
      <c r="L56" t="inlineStr">
        <is>
          <t>Waermeversorgungsnetze-Frankfurt.pdf</t>
        </is>
      </c>
      <c r="M56" t="inlineStr">
        <is>
          <t>Es geht voran – Energiezukunft in Frankfurt | Mainova</t>
        </is>
      </c>
      <c r="N56" t="inlineStr">
        <is>
          <t>M_118_2024_AN1_e-think_Konzeptstudie.pdf</t>
        </is>
      </c>
      <c r="O56" t="inlineStr">
        <is>
          <t>TAB Heizwasser</t>
        </is>
      </c>
      <c r="P56" t="inlineStr">
        <is>
          <t>versorgungsbedingungen-waerme-tab-dampf-data.pdf</t>
        </is>
      </c>
    </row>
    <row r="57">
      <c r="A57" t="inlineStr">
        <is>
          <t>ES1210410001010E</t>
        </is>
      </c>
      <c r="B57" t="inlineStr">
        <is>
          <t>HUELVA</t>
        </is>
      </c>
      <c r="C57" t="n">
        <v>37.24835</v>
      </c>
      <c r="D57" t="n">
        <v>-6.93224</v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Kein bekanntes Fernwärmenetz in der Nähe</t>
        </is>
      </c>
    </row>
    <row r="58">
      <c r="A58" t="inlineStr">
        <is>
          <t>IT05000000000213</t>
        </is>
      </c>
      <c r="B58" t="inlineStr">
        <is>
          <t>Venezia_Fusina_Via_Dei_Cantieri</t>
        </is>
      </c>
      <c r="C58" t="n">
        <v>45.431</v>
      </c>
      <c r="D58" t="n">
        <v>12.251</v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Kein bekanntes Fernwärmenetz in der Nähe</t>
        </is>
      </c>
    </row>
    <row r="59">
      <c r="A59" t="inlineStr">
        <is>
          <t>NL31005</t>
        </is>
      </c>
      <c r="B59" t="inlineStr">
        <is>
          <t>UWWTP AMSTERDAN-WESTPOORT</t>
        </is>
      </c>
      <c r="C59" t="n">
        <v>52.41321666</v>
      </c>
      <c r="D59" t="n">
        <v>4.80223333</v>
      </c>
      <c r="E59" t="inlineStr">
        <is>
          <t>Existing</t>
        </is>
      </c>
      <c r="I59" t="inlineStr">
        <is>
          <t>Heizwasser</t>
        </is>
      </c>
      <c r="J59" t="n">
        <v>1.21</v>
      </c>
      <c r="K59" t="inlineStr">
        <is>
          <t>In Nähe von HKW</t>
        </is>
      </c>
      <c r="L59" t="inlineStr">
        <is>
          <t>Amsterdam Nord und West - Stiftung Wärmenetz</t>
        </is>
      </c>
    </row>
    <row r="60">
      <c r="A60" t="inlineStr">
        <is>
          <t>NL15008</t>
        </is>
      </c>
      <c r="B60" t="inlineStr">
        <is>
          <t>UWWTP HARNASCHPOLDER</t>
        </is>
      </c>
      <c r="C60" t="n">
        <v>52.0154</v>
      </c>
      <c r="D60" t="n">
        <v>4.31888333</v>
      </c>
      <c r="E60" t="inlineStr">
        <is>
          <t>Existing</t>
        </is>
      </c>
      <c r="F60" t="inlineStr">
        <is>
          <t>Existing</t>
        </is>
      </c>
      <c r="G60" t="n">
        <v>75</v>
      </c>
      <c r="I60" t="inlineStr">
        <is>
          <t>Heizwasser</t>
        </is>
      </c>
      <c r="J60" t="n">
        <v>0</v>
      </c>
      <c r="K60" t="inlineStr">
        <is>
          <t>Direkt angebunden</t>
        </is>
      </c>
      <c r="L60" t="inlineStr">
        <is>
          <t>Restwärme aus Abwasser | Bloggen | Gebaut für die Ewigkeit</t>
        </is>
      </c>
      <c r="M60" t="inlineStr">
        <is>
          <t>Instrumentarium schaarse warmte uit water</t>
        </is>
      </c>
    </row>
    <row r="61">
      <c r="A61" t="inlineStr">
        <is>
          <t>UKENTH_TWU_TP000125</t>
        </is>
      </c>
      <c r="B61" t="inlineStr">
        <is>
          <t>LONDON (Riverside STW)</t>
        </is>
      </c>
      <c r="C61" t="n">
        <v>51.51572343</v>
      </c>
      <c r="D61" t="n">
        <v>0.181996947</v>
      </c>
      <c r="E61" t="inlineStr">
        <is>
          <t>Existing</t>
        </is>
      </c>
      <c r="K61" t="inlineStr">
        <is>
          <t>Entfernung zu potenziellem Wärmenetz</t>
        </is>
      </c>
      <c r="L61" t="inlineStr">
        <is>
          <t>Heatmap</t>
        </is>
      </c>
    </row>
    <row r="62">
      <c r="A62" t="inlineStr">
        <is>
          <t>UKENNE_YW_TP000095</t>
        </is>
      </c>
      <c r="B62" t="inlineStr">
        <is>
          <t>HULL STW</t>
        </is>
      </c>
      <c r="C62" t="n">
        <v>53.74502678</v>
      </c>
      <c r="D62" t="n">
        <v>-0.238219654</v>
      </c>
      <c r="E62" t="inlineStr">
        <is>
          <t>Planned</t>
        </is>
      </c>
      <c r="G62" t="n">
        <v>65</v>
      </c>
      <c r="H62" t="n">
        <v>40</v>
      </c>
      <c r="I62" t="inlineStr">
        <is>
          <t>Heizwasser</t>
        </is>
      </c>
      <c r="J62" t="n">
        <v>0.1</v>
      </c>
      <c r="K62" t="inlineStr">
        <is>
          <t>Potentielle Netzgebiete direkt nebenan/Gebautes netz im Zentrum zu weit weg</t>
        </is>
      </c>
      <c r="L62" t="inlineStr">
        <is>
          <t>Heat network zoning map: Hull</t>
        </is>
      </c>
      <c r="M62" t="inlineStr">
        <is>
          <t>Hull Disrict Heat Network</t>
        </is>
      </c>
    </row>
    <row r="63">
      <c r="A63" t="inlineStr">
        <is>
          <t>DETP_NW1</t>
        </is>
      </c>
      <c r="B63" t="inlineStr">
        <is>
          <t>Aachen-Soers</t>
        </is>
      </c>
      <c r="C63" t="n">
        <v>50.8085</v>
      </c>
      <c r="D63" t="n">
        <v>6.10417</v>
      </c>
      <c r="E63" t="inlineStr">
        <is>
          <t>Existing</t>
        </is>
      </c>
      <c r="G63" t="n">
        <v>110</v>
      </c>
      <c r="H63" t="n">
        <v>55</v>
      </c>
      <c r="I63" t="inlineStr">
        <is>
          <t>Heizwasser</t>
        </is>
      </c>
      <c r="J63" t="n">
        <v>0.5</v>
      </c>
      <c r="L63" t="inlineStr">
        <is>
          <t>Fernwärme | STAWAG – Stadt- und Städteregionswerke Aachen AG</t>
        </is>
      </c>
      <c r="M63" t="inlineStr">
        <is>
          <t>24-10-01_TAB_neu.pdf</t>
        </is>
      </c>
    </row>
    <row r="64">
      <c r="A64" t="inlineStr">
        <is>
          <t>HU-WWTP-AIA440</t>
        </is>
      </c>
      <c r="B64" t="inlineStr">
        <is>
          <t>Budapest (Eszak Pest) - Szennyviztisztito Telep</t>
        </is>
      </c>
      <c r="C64" t="n">
        <v>47.570347</v>
      </c>
      <c r="D64" t="n">
        <v>19.068254</v>
      </c>
      <c r="E64" t="inlineStr">
        <is>
          <t>Existing</t>
        </is>
      </c>
      <c r="I64" t="inlineStr">
        <is>
          <t>Heizwasser</t>
        </is>
      </c>
      <c r="J64" t="n">
        <v>1.5</v>
      </c>
      <c r="K64" t="inlineStr">
        <is>
          <t>Entfernung nicht genau</t>
        </is>
      </c>
      <c r="L64" t="inlineStr">
        <is>
          <t>Geothermal Budapest</t>
        </is>
      </c>
    </row>
    <row r="65">
      <c r="A65" t="inlineStr">
        <is>
          <t>IT08000000000007</t>
        </is>
      </c>
      <c r="B65" t="inlineStr">
        <is>
          <t>Bologna_Corticella</t>
        </is>
      </c>
      <c r="C65" t="n">
        <v>44.55268</v>
      </c>
      <c r="D65" t="n">
        <v>11.36213</v>
      </c>
      <c r="E65" t="inlineStr">
        <is>
          <t>Existing</t>
        </is>
      </c>
      <c r="F65" t="inlineStr">
        <is>
          <t>Existing</t>
        </is>
      </c>
      <c r="G65" t="n">
        <v>90</v>
      </c>
      <c r="H65" t="n">
        <v>60</v>
      </c>
      <c r="I65" t="inlineStr">
        <is>
          <t>Heizwasser</t>
        </is>
      </c>
      <c r="J65" t="n">
        <v>0</v>
      </c>
      <c r="L65" t="inlineStr">
        <is>
          <t>Teleriscaldamento - Gruppo Hera</t>
        </is>
      </c>
      <c r="M65" t="inlineStr">
        <is>
          <t>Ferrara and Bologna, Italy - Upgrade DH</t>
        </is>
      </c>
    </row>
    <row r="66">
      <c r="A66" t="inlineStr">
        <is>
          <t>PLPM0020</t>
        </is>
      </c>
      <c r="B66" t="inlineStr">
        <is>
          <t>Goś Dębogórze</t>
        </is>
      </c>
      <c r="C66" t="n">
        <v>54.5789</v>
      </c>
      <c r="D66" t="n">
        <v>18.4314</v>
      </c>
      <c r="E66" t="inlineStr">
        <is>
          <t>Existing</t>
        </is>
      </c>
      <c r="F66" t="inlineStr">
        <is>
          <t>Planned</t>
        </is>
      </c>
      <c r="G66" t="n">
        <v>125</v>
      </c>
      <c r="H66" t="n">
        <v>65</v>
      </c>
      <c r="I66" t="inlineStr">
        <is>
          <t>Heizwasser</t>
        </is>
      </c>
      <c r="J66" t="n">
        <v>0</v>
      </c>
      <c r="K66" t="inlineStr">
        <is>
          <t>Direkt angebunden</t>
        </is>
      </c>
      <c r="L66" t="inlineStr">
        <is>
          <t>Interreg 2021-2027 – OPEC Sp. z o.o.</t>
        </is>
      </c>
      <c r="M66" t="inlineStr">
        <is>
          <t>Scanned Document</t>
        </is>
      </c>
    </row>
    <row r="67">
      <c r="A67" t="inlineStr">
        <is>
          <t>DETP_ST152611000039</t>
        </is>
      </c>
      <c r="B67" t="inlineStr">
        <is>
          <t>Schkopau</t>
        </is>
      </c>
      <c r="C67" t="n">
        <v>51.4066</v>
      </c>
      <c r="D67" t="n">
        <v>11.9549</v>
      </c>
      <c r="E67" t="inlineStr">
        <is>
          <t>Existing</t>
        </is>
      </c>
      <c r="G67" t="n">
        <v>125</v>
      </c>
      <c r="H67" t="n">
        <v>60</v>
      </c>
      <c r="I67" t="inlineStr">
        <is>
          <t>Heizwasser</t>
        </is>
      </c>
      <c r="J67" t="n">
        <v>2.88</v>
      </c>
      <c r="K67" t="inlineStr">
        <is>
          <t>Netz Halle Saale</t>
        </is>
      </c>
      <c r="L67" t="inlineStr">
        <is>
          <t>Der WärmeAtlas für Halle (Saale) | SWH. EVH</t>
        </is>
      </c>
      <c r="M67" t="inlineStr">
        <is>
          <t>Technische Anschlussbedingungen an das Heizwassernetz der EVH GmbH (ab 01.08.2024).pdf</t>
        </is>
      </c>
    </row>
    <row r="68">
      <c r="A68" t="inlineStr">
        <is>
          <t>HRUWWTP_0004008_001</t>
        </is>
      </c>
      <c r="B68" t="inlineStr">
        <is>
          <t>Zagreb</t>
        </is>
      </c>
      <c r="C68" t="n">
        <v>45.7925</v>
      </c>
      <c r="D68" t="n">
        <v>16.0819</v>
      </c>
      <c r="E68" t="inlineStr">
        <is>
          <t>Existing</t>
        </is>
      </c>
      <c r="I68" t="inlineStr">
        <is>
          <t>Heizwasser</t>
        </is>
      </c>
      <c r="J68" t="n">
        <v>5.55</v>
      </c>
      <c r="L68" t="n">
        <v>11</v>
      </c>
    </row>
    <row r="69">
      <c r="A69" t="inlineStr">
        <is>
          <t>UKENTH_TWU_TP000102</t>
        </is>
      </c>
      <c r="B69" t="inlineStr">
        <is>
          <t>LONDON (Long Reach STW)</t>
        </is>
      </c>
      <c r="C69" t="n">
        <v>51.46789014</v>
      </c>
      <c r="D69" t="n">
        <v>0.238747466</v>
      </c>
      <c r="E69" t="inlineStr">
        <is>
          <t>Existing</t>
        </is>
      </c>
      <c r="K69" t="inlineStr">
        <is>
          <t>Entfernung zu potenziellem Wärmenetz</t>
        </is>
      </c>
      <c r="L69" t="inlineStr">
        <is>
          <t>Heatmap</t>
        </is>
      </c>
    </row>
    <row r="70">
      <c r="A70" t="inlineStr">
        <is>
          <t>PLLO0030</t>
        </is>
      </c>
      <c r="B70" t="inlineStr">
        <is>
          <t>Kutno</t>
        </is>
      </c>
      <c r="C70" t="n">
        <v>52.2097</v>
      </c>
      <c r="D70" t="n">
        <v>19.4178</v>
      </c>
      <c r="E70" t="inlineStr">
        <is>
          <t>Existing</t>
        </is>
      </c>
      <c r="I70" t="inlineStr">
        <is>
          <t>Heizwasser</t>
        </is>
      </c>
      <c r="J70" t="n">
        <v>2.07</v>
      </c>
      <c r="K70" t="inlineStr">
        <is>
          <t>Netz Richtung Kläranlage 2022 abgebaut</t>
        </is>
      </c>
      <c r="L70" t="inlineStr">
        <is>
          <t>Abriss des Heizungsnetzes von der Metalowa-Straße bis zum Ausgang in der Józefów-Straße in Richtung der Objekte in der Holenderska-Straße in Kutno - Verfahren II - Energetyka Cieplna Opolszczyzny SA</t>
        </is>
      </c>
    </row>
    <row r="71">
      <c r="A71" t="inlineStr">
        <is>
          <t>FR026830000459</t>
        </is>
      </c>
      <c r="B71" t="inlineStr">
        <is>
          <t>SAUSHEIM</t>
        </is>
      </c>
      <c r="C71" t="n">
        <v>47.7774439835</v>
      </c>
      <c r="D71" t="n">
        <v>7.4040298184</v>
      </c>
      <c r="E71" t="inlineStr">
        <is>
          <t>Existing</t>
        </is>
      </c>
      <c r="G71" t="inlineStr">
        <is>
          <t>-</t>
        </is>
      </c>
      <c r="H71" t="inlineStr">
        <is>
          <t>-</t>
        </is>
      </c>
      <c r="I71" t="inlineStr">
        <is>
          <t>Heizwasser</t>
        </is>
      </c>
      <c r="J71" t="n">
        <v>0.1</v>
      </c>
      <c r="K71" t="inlineStr">
        <is>
          <t>Heizwerk direkt neben anlage/ Netzwerk Temps für Frankreich</t>
        </is>
      </c>
      <c r="L71" t="inlineStr">
        <is>
          <t>Carte nationale des réseaux de chaleur et de froid en France</t>
        </is>
      </c>
      <c r="M71" t="inlineStr">
        <is>
          <t>MEEDDM_Presentation_Energie_et_Climat</t>
        </is>
      </c>
    </row>
    <row r="72">
      <c r="A72" t="inlineStr">
        <is>
          <t>RO7BV_511</t>
        </is>
      </c>
      <c r="B72" t="inlineStr">
        <is>
          <t>ROWP SC COMPANIA APA SA Brasov</t>
        </is>
      </c>
      <c r="C72" t="n">
        <v>45.65</v>
      </c>
      <c r="D72" t="n">
        <v>25.579</v>
      </c>
      <c r="E72" t="inlineStr">
        <is>
          <t>Existing</t>
        </is>
      </c>
      <c r="J72" t="n">
        <v>2.17</v>
      </c>
      <c r="K72" t="inlineStr">
        <is>
          <t>Koordinaten Anlage falsch / 45,681905 25,573390</t>
        </is>
      </c>
      <c r="L72" t="inlineStr">
        <is>
          <t>International Conference on Smart Energy Systems and 4th Generation District Heating Copenhagen, 25-26 August 2015</t>
        </is>
      </c>
    </row>
    <row r="73">
      <c r="A73" t="inlineStr">
        <is>
          <t>ATTP_5-A1699622R154</t>
        </is>
      </c>
      <c r="B73" t="inlineStr">
        <is>
          <t>ARA Siggerwiesen</t>
        </is>
      </c>
      <c r="C73" t="n">
        <v>47.8597442357</v>
      </c>
      <c r="D73" t="n">
        <v>13.0025239708</v>
      </c>
      <c r="E73" t="inlineStr">
        <is>
          <t>Existing</t>
        </is>
      </c>
      <c r="G73" t="n">
        <v>105</v>
      </c>
      <c r="H73" t="n">
        <v>57</v>
      </c>
      <c r="I73" t="inlineStr">
        <is>
          <t>Heizwasser</t>
        </is>
      </c>
      <c r="J73" t="n">
        <v>2.19</v>
      </c>
      <c r="L73" t="inlineStr">
        <is>
          <t>Fernwärme | Umweltfreundliche Heizform | Salzburg AG für Energie, Verkehr &amp; Telekommunikation</t>
        </is>
      </c>
      <c r="M73" t="inlineStr">
        <is>
          <t>TVB Wärme Netzspezifischer Teil</t>
        </is>
      </c>
      <c r="N73" t="inlineStr">
        <is>
          <t>Fernwärme | Umweltfreundliche Heizform | Salzburg AG für Energie, Verkehr &amp; Telekommunikation</t>
        </is>
      </c>
    </row>
    <row r="74">
      <c r="A74" t="inlineStr">
        <is>
          <t>ES10030140002012E</t>
        </is>
      </c>
      <c r="B74" t="inlineStr">
        <is>
          <t>RINCON DE LEON</t>
        </is>
      </c>
      <c r="C74" t="n">
        <v>38.335124</v>
      </c>
      <c r="D74" t="n">
        <v>-0.52361</v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Kein bekanntes Fernwärmenetz in der Nähe</t>
        </is>
      </c>
    </row>
    <row r="75">
      <c r="A75" t="inlineStr">
        <is>
          <t>DETP_BW1115100000001</t>
        </is>
      </c>
      <c r="B75" t="inlineStr">
        <is>
          <t>Hauptklärwerk Mühlhausen</t>
        </is>
      </c>
      <c r="C75" t="n">
        <v>48.8468</v>
      </c>
      <c r="D75" t="n">
        <v>9.241400000000001</v>
      </c>
      <c r="E75" t="inlineStr">
        <is>
          <t>Existing</t>
        </is>
      </c>
      <c r="G75" t="n">
        <v>105</v>
      </c>
      <c r="H75" t="n">
        <v>55</v>
      </c>
      <c r="I75" t="inlineStr">
        <is>
          <t>Heizwasser</t>
        </is>
      </c>
      <c r="J75" t="n">
        <v>1.61</v>
      </c>
      <c r="L75" t="inlineStr">
        <is>
          <t>EnBW_Fernw_rme_Stuttgart_-_04_-_M_nster2v2_-_M_hlhausen-1-.pdf</t>
        </is>
      </c>
      <c r="M75" t="inlineStr">
        <is>
          <t>TAB-HW</t>
        </is>
      </c>
    </row>
    <row r="76">
      <c r="A76" t="inlineStr">
        <is>
          <t>DETP_NI201000201</t>
        </is>
      </c>
      <c r="B76" t="inlineStr">
        <is>
          <t>2530002102 KA Herrenhausen</t>
        </is>
      </c>
      <c r="C76" t="n">
        <v>52.3968</v>
      </c>
      <c r="D76" t="n">
        <v>9.661479999999999</v>
      </c>
      <c r="E76" t="inlineStr">
        <is>
          <t>Existing</t>
        </is>
      </c>
      <c r="F76" t="inlineStr">
        <is>
          <t>Planned</t>
        </is>
      </c>
      <c r="G76" t="n">
        <v>120</v>
      </c>
      <c r="H76" t="n">
        <v>40</v>
      </c>
      <c r="I76" t="inlineStr">
        <is>
          <t>Heizwasser</t>
        </is>
      </c>
      <c r="J76" t="n">
        <v>0</v>
      </c>
      <c r="K76" t="inlineStr">
        <is>
          <t>Direkte anbindung geplant</t>
        </is>
      </c>
      <c r="L76" t="inlineStr">
        <is>
          <t>2025-05_Lageplan_Fernwärmesatzung.pdf</t>
        </is>
      </c>
      <c r="M76" t="inlineStr">
        <is>
          <t>Großwärmepumpe am Klärwerk - Meilenstein für die grüne Fernwärme - Hannover entdecken ...</t>
        </is>
      </c>
      <c r="N76" t="inlineStr">
        <is>
          <t>TAR_2023.pdf</t>
        </is>
      </c>
    </row>
    <row r="77">
      <c r="A77" t="inlineStr">
        <is>
          <t>FR037649801000</t>
        </is>
      </c>
      <c r="B77" t="inlineStr">
        <is>
          <t>ROUEN</t>
        </is>
      </c>
      <c r="C77" t="n">
        <v>49.4283909998</v>
      </c>
      <c r="D77" t="n">
        <v>1.0279567331</v>
      </c>
      <c r="E77" t="inlineStr">
        <is>
          <t>Existing</t>
        </is>
      </c>
      <c r="I77" t="inlineStr">
        <is>
          <t>Heizwasser</t>
        </is>
      </c>
      <c r="J77" t="n">
        <v>0.1</v>
      </c>
      <c r="K77" t="inlineStr">
        <is>
          <t>Netz verläuft direkt neben Anlage/ Falsche Koordinaten 49,4286250, 1,04236132</t>
        </is>
      </c>
      <c r="L77" t="inlineStr">
        <is>
          <t>Carte nationale des réseaux de chaleur et de froid en France</t>
        </is>
      </c>
    </row>
    <row r="78">
      <c r="A78" t="inlineStr">
        <is>
          <t>UKENTH_TWU_TP000014</t>
        </is>
      </c>
      <c r="B78" t="inlineStr">
        <is>
          <t>LONDON (Becton STW)</t>
        </is>
      </c>
      <c r="C78" t="n">
        <v>51.5152403</v>
      </c>
      <c r="D78" t="n">
        <v>0.095062176</v>
      </c>
      <c r="E78" t="inlineStr">
        <is>
          <t>Existing</t>
        </is>
      </c>
      <c r="G78" t="inlineStr">
        <is>
          <t>-</t>
        </is>
      </c>
      <c r="H78" t="inlineStr">
        <is>
          <t>-</t>
        </is>
      </c>
      <c r="I78" t="inlineStr">
        <is>
          <t>Heizwasser</t>
        </is>
      </c>
      <c r="J78" t="n">
        <v>0.7</v>
      </c>
      <c r="K78" t="inlineStr">
        <is>
          <t>Geplantes Netz/ Vorgeschlagene Netze führen direkt zu Anlage</t>
        </is>
      </c>
      <c r="L78" t="inlineStr">
        <is>
          <t>Heat Network Zone map: Barking and Dagenham</t>
        </is>
      </c>
      <c r="M78" t="inlineStr">
        <is>
          <t>Heatmap</t>
        </is>
      </c>
    </row>
    <row r="79">
      <c r="A79" t="inlineStr">
        <is>
          <t>DETP_SH56027</t>
        </is>
      </c>
      <c r="B79" t="inlineStr">
        <is>
          <t>Hetlingen</t>
        </is>
      </c>
      <c r="C79" t="n">
        <v>53.598</v>
      </c>
      <c r="D79" t="n">
        <v>9.60765</v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Pläne für Fernwärmenetz Hetlingen gescheitert – DorfFunk SH</t>
        </is>
      </c>
    </row>
    <row r="80">
      <c r="A80" t="inlineStr">
        <is>
          <t>ES9082110001010E</t>
        </is>
      </c>
      <c r="B80" t="inlineStr">
        <is>
          <t>SANT FELIU DE LLOBREGAT</t>
        </is>
      </c>
      <c r="C80" t="n">
        <v>41.38139</v>
      </c>
      <c r="D80" t="n">
        <v>2.03335</v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Kein bekanntes Fernwärmenetz in der Nähe</t>
        </is>
      </c>
    </row>
    <row r="81">
      <c r="A81" t="inlineStr">
        <is>
          <t>ES1410910002013E</t>
        </is>
      </c>
      <c r="B81" t="inlineStr">
        <is>
          <t>LA RANILLA</t>
        </is>
      </c>
      <c r="C81" t="n">
        <v>37.36661</v>
      </c>
      <c r="D81" t="n">
        <v>-5.92902</v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Kein bekanntes Fernwärmenetz in der Nähe</t>
        </is>
      </c>
    </row>
    <row r="82">
      <c r="A82" t="inlineStr">
        <is>
          <t>ATTP_3-11</t>
        </is>
      </c>
      <c r="B82" t="inlineStr">
        <is>
          <t>ARA AWV Schwechat</t>
        </is>
      </c>
      <c r="C82" t="n">
        <v>48.1345834227</v>
      </c>
      <c r="D82" t="n">
        <v>16.5412221164</v>
      </c>
      <c r="E82" t="inlineStr">
        <is>
          <t>Existing</t>
        </is>
      </c>
      <c r="G82" t="n">
        <v>130</v>
      </c>
      <c r="H82" t="inlineStr">
        <is>
          <t>-</t>
        </is>
      </c>
      <c r="I82" t="inlineStr">
        <is>
          <t>Heizwasser</t>
        </is>
      </c>
      <c r="J82" t="inlineStr">
        <is>
          <t>-</t>
        </is>
      </c>
      <c r="K82" t="inlineStr">
        <is>
          <t>Keine Netzdaten gefunden</t>
        </is>
      </c>
      <c r="L82" t="inlineStr">
        <is>
          <t>TAB-FW_V2509</t>
        </is>
      </c>
      <c r="M82" t="inlineStr">
        <is>
          <t>TR 2013 - Technische Auslegungsbedingungen | Wien Energie</t>
        </is>
      </c>
    </row>
    <row r="83">
      <c r="A83" t="inlineStr">
        <is>
          <t>EL300001011</t>
        </is>
      </c>
      <c r="B83" t="inlineStr">
        <is>
          <t>PSYTTALIA</t>
        </is>
      </c>
      <c r="C83" t="n">
        <v>37.9384322</v>
      </c>
      <c r="D83" t="n">
        <v>23.58396887</v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Kein bekanntes Fernwärmenetz in der Nähe</t>
        </is>
      </c>
    </row>
    <row r="84">
      <c r="A84" t="inlineStr">
        <is>
          <t>BERW6207901</t>
        </is>
      </c>
      <c r="B84" t="inlineStr">
        <is>
          <t>LIEGE OUPEYE</t>
        </is>
      </c>
      <c r="C84" t="n">
        <v>50.7218</v>
      </c>
      <c r="D84" t="n">
        <v>5.669</v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Kein bekanntes Fernwärmenetz in der Nähe</t>
        </is>
      </c>
    </row>
    <row r="85">
      <c r="A85" t="inlineStr">
        <is>
          <t>DETP_NW35</t>
        </is>
      </c>
      <c r="B85" t="inlineStr">
        <is>
          <t>Düren</t>
        </is>
      </c>
      <c r="C85" t="n">
        <v>50.8408</v>
      </c>
      <c r="D85" t="n">
        <v>6.44171</v>
      </c>
      <c r="E85" t="inlineStr">
        <is>
          <t>Existing</t>
        </is>
      </c>
      <c r="G85" t="inlineStr">
        <is>
          <t>-</t>
        </is>
      </c>
      <c r="H85" t="inlineStr">
        <is>
          <t>-</t>
        </is>
      </c>
      <c r="I85" t="inlineStr">
        <is>
          <t>Heizwasser</t>
        </is>
      </c>
      <c r="J85" t="n">
        <v>2</v>
      </c>
      <c r="K85" t="inlineStr">
        <is>
          <t>Entfernung zu potenziellem Gebiet</t>
        </is>
      </c>
      <c r="L85" t="inlineStr">
        <is>
          <t>Entwurf_Kommunale_Wärmeplanung_der_Stadt_Düren_-_Offenlage.pdf</t>
        </is>
      </c>
    </row>
    <row r="86">
      <c r="A86" t="inlineStr">
        <is>
          <t>IETP_D0034</t>
        </is>
      </c>
      <c r="B86" t="inlineStr">
        <is>
          <t>Ringsend</t>
        </is>
      </c>
      <c r="C86" t="n">
        <v>53.35607</v>
      </c>
      <c r="D86" t="n">
        <v>-6.28966</v>
      </c>
      <c r="E86" t="inlineStr">
        <is>
          <t>Existing</t>
        </is>
      </c>
      <c r="G86" t="n">
        <v>85</v>
      </c>
      <c r="H86" t="n">
        <v>45</v>
      </c>
      <c r="I86" t="inlineStr">
        <is>
          <t>Heizwasser</t>
        </is>
      </c>
      <c r="J86" t="n">
        <v>0.1</v>
      </c>
      <c r="K86" t="inlineStr">
        <is>
          <t>Anlage direkt daneben, Dublin Waste to heat/ Falsche Koordinaten 53,338528 -6,1963557</t>
        </is>
      </c>
      <c r="L86" t="inlineStr">
        <is>
          <t>Technical Information for Developers on Dublin District Heating System | Dublin City Council</t>
        </is>
      </c>
      <c r="M86" t="inlineStr">
        <is>
          <t>engineering-review-report-june-2019.pdf</t>
        </is>
      </c>
      <c r="N86" t="inlineStr">
        <is>
          <t>business-model-options-exec-summary-aug-2020.pdf</t>
        </is>
      </c>
    </row>
    <row r="87">
      <c r="A87" t="inlineStr">
        <is>
          <t>UKENAN_AW_TP000308</t>
        </is>
      </c>
      <c r="B87" t="inlineStr">
        <is>
          <t>TILBURY STW, TILBURY, ESSEX"</t>
        </is>
      </c>
      <c r="C87" t="n">
        <v>51.45673581</v>
      </c>
      <c r="D87" t="n">
        <v>0.378611691</v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Kein bekanntes Fernwärmenetz in der Nähe</t>
        </is>
      </c>
    </row>
    <row r="88">
      <c r="A88" t="inlineStr">
        <is>
          <t>DETP_NW316</t>
        </is>
      </c>
      <c r="B88" t="inlineStr">
        <is>
          <t>Abwasserverband Obere Lutter</t>
        </is>
      </c>
      <c r="C88" t="n">
        <v>51.9451</v>
      </c>
      <c r="D88" t="n">
        <v>8.38233</v>
      </c>
      <c r="E88" t="inlineStr">
        <is>
          <t>Existing</t>
        </is>
      </c>
      <c r="G88" t="inlineStr">
        <is>
          <t>-</t>
        </is>
      </c>
      <c r="H88" t="inlineStr">
        <is>
          <t>-</t>
        </is>
      </c>
      <c r="I88" t="inlineStr">
        <is>
          <t>Heizwasser</t>
        </is>
      </c>
      <c r="J88" t="n">
        <v>1.5</v>
      </c>
      <c r="K88" t="inlineStr">
        <is>
          <t>Netz wird in Nordgütersloh in Erwägung gezogen</t>
        </is>
      </c>
      <c r="L88" t="inlineStr">
        <is>
          <t>Kommunaler-Waermeplan-Stadtgebiet-Guetersloh-Juni-2025.pdf</t>
        </is>
      </c>
    </row>
    <row r="89">
      <c r="A89" t="inlineStr">
        <is>
          <t>FR026751900405</t>
        </is>
      </c>
      <c r="B89" t="inlineStr">
        <is>
          <t>STRASBOURG - LA WANTZENAU</t>
        </is>
      </c>
      <c r="C89" t="n">
        <v>48.631941401</v>
      </c>
      <c r="D89" t="n">
        <v>7.8324315152</v>
      </c>
      <c r="E89" t="inlineStr">
        <is>
          <t>Existing</t>
        </is>
      </c>
      <c r="G89" t="n">
        <v>140</v>
      </c>
      <c r="H89" t="n">
        <v>90</v>
      </c>
      <c r="I89" t="inlineStr">
        <is>
          <t>Heizwasser</t>
        </is>
      </c>
      <c r="J89" t="n">
        <v>4.24</v>
      </c>
      <c r="L89" t="inlineStr">
        <is>
          <t>Die Wärmenetze der Eurometropole | Strasbourg.eu</t>
        </is>
      </c>
      <c r="M89" t="inlineStr">
        <is>
          <t>Carte nationale des réseaux de chaleur et de froid en France</t>
        </is>
      </c>
      <c r="N89" t="inlineStr">
        <is>
          <t>https://r-sce.fr/faq/?utm_source=chatgpt.com</t>
        </is>
      </c>
    </row>
    <row r="90">
      <c r="A90" t="inlineStr">
        <is>
          <t>PLZA0011</t>
        </is>
      </c>
      <c r="B90" t="inlineStr">
        <is>
          <t>Pomorzany</t>
        </is>
      </c>
      <c r="C90" t="n">
        <v>53.4017</v>
      </c>
      <c r="D90" t="n">
        <v>14.5425</v>
      </c>
      <c r="E90" t="inlineStr">
        <is>
          <t>Existing</t>
        </is>
      </c>
      <c r="G90" t="n">
        <v>135</v>
      </c>
      <c r="H90" t="n">
        <v>65</v>
      </c>
      <c r="I90" t="inlineStr">
        <is>
          <t>Heizwasser</t>
        </is>
      </c>
      <c r="J90" t="n">
        <v>0.429</v>
      </c>
      <c r="K90" t="inlineStr">
        <is>
          <t>Direkte anbindung wird untersucht</t>
        </is>
      </c>
      <c r="L90" t="inlineStr">
        <is>
          <t>Warunki przyłączenia węzłów cieplnych do sieci cieplnych.pdf</t>
        </is>
      </c>
      <c r="M90" t="inlineStr">
        <is>
          <t>Magazyn Ciepła Systemowego - Ogrzewanie ściekami. Nowatorski sposób na „zielone” ciepło w Szczecinie</t>
        </is>
      </c>
      <c r="N90" t="inlineStr">
        <is>
          <t>Plan_zalozen_dla_Gm__M__Szczecin_12_08.pdf</t>
        </is>
      </c>
    </row>
    <row r="91">
      <c r="A91" t="inlineStr">
        <is>
          <t>DETP_NW1204</t>
        </is>
      </c>
      <c r="B91" t="inlineStr">
        <is>
          <t>Dortmund-Deusen</t>
        </is>
      </c>
      <c r="C91" t="n">
        <v>51.5377</v>
      </c>
      <c r="D91" t="n">
        <v>7.42629</v>
      </c>
      <c r="E91" t="inlineStr">
        <is>
          <t>Existing</t>
        </is>
      </c>
      <c r="G91" t="n">
        <v>110</v>
      </c>
      <c r="H91" t="n">
        <v>55</v>
      </c>
      <c r="I91" t="inlineStr">
        <is>
          <t>Heizwasser</t>
        </is>
      </c>
      <c r="J91" t="n">
        <v>1.03</v>
      </c>
      <c r="K91" t="inlineStr">
        <is>
          <t>Potenziell nähere Gebiete in Untersuchung</t>
        </is>
      </c>
      <c r="L91" t="inlineStr">
        <is>
          <t>Kommunale Wärmeplanung</t>
        </is>
      </c>
      <c r="M91" t="inlineStr">
        <is>
          <t>Kläranlage Dortmund-Deusen - POI | RouteYou</t>
        </is>
      </c>
      <c r="N91" t="inlineStr">
        <is>
          <t>DEW_Tech_Anschlussbed_Heizwasser.indd</t>
        </is>
      </c>
    </row>
    <row r="92">
      <c r="A92" t="inlineStr">
        <is>
          <t>IT19CT00G7001DE001</t>
        </is>
      </c>
      <c r="B92" t="inlineStr">
        <is>
          <t>Impianto_Consortile_Di_Catania</t>
        </is>
      </c>
      <c r="C92" t="n">
        <v>37.44184</v>
      </c>
      <c r="D92" t="n">
        <v>15.04273</v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Kein bekanntes Fernwärmenetz in der Nähe, Industriegebiet</t>
        </is>
      </c>
    </row>
    <row r="93">
      <c r="A93" t="inlineStr">
        <is>
          <t>FR060934172001</t>
        </is>
      </c>
      <c r="B93" t="inlineStr">
        <is>
          <t>MAERA (EX CEREIREDE)</t>
        </is>
      </c>
      <c r="C93" t="n">
        <v>43.5823571136</v>
      </c>
      <c r="D93" t="n">
        <v>3.906114896</v>
      </c>
      <c r="E93" t="inlineStr">
        <is>
          <t>Existing</t>
        </is>
      </c>
      <c r="I93" t="inlineStr">
        <is>
          <t>Heizwasser</t>
        </is>
      </c>
      <c r="J93" t="n">
        <v>1.56</v>
      </c>
      <c r="L93" t="inlineStr">
        <is>
          <t>Carte nationale des réseaux de chaleur et de froid en France</t>
        </is>
      </c>
    </row>
    <row r="94">
      <c r="A94" t="inlineStr">
        <is>
          <t>NL11014</t>
        </is>
      </c>
      <c r="B94" t="inlineStr">
        <is>
          <t>UWWTP AMSTERDAM-WEST</t>
        </is>
      </c>
      <c r="C94" t="n">
        <v>52.39901666</v>
      </c>
      <c r="D94" t="n">
        <v>4.78625</v>
      </c>
      <c r="E94" t="inlineStr">
        <is>
          <t>Existing</t>
        </is>
      </c>
      <c r="J94" t="n">
        <v>0.1</v>
      </c>
      <c r="K94" t="inlineStr">
        <is>
          <t>Netz fast neben HKW</t>
        </is>
      </c>
      <c r="L94" t="inlineStr">
        <is>
          <t>Amsterdam Nord und West - Stiftung Wärmenetz</t>
        </is>
      </c>
      <c r="M94" t="inlineStr">
        <is>
          <t>warmteladder_definitief_hoge_resolutie.pdf</t>
        </is>
      </c>
      <c r="N94" t="inlineStr">
        <is>
          <t>Expansion_Netherlands_Amsterdam_2011.pdf</t>
        </is>
      </c>
      <c r="O94" t="inlineStr">
        <is>
          <t>Voorblad Engels kopie</t>
        </is>
      </c>
    </row>
    <row r="95">
      <c r="A95" t="inlineStr">
        <is>
          <t>ES7240890002010E</t>
        </is>
      </c>
      <c r="B95" t="inlineStr">
        <is>
          <t>LEON</t>
        </is>
      </c>
      <c r="C95" t="n">
        <v>42.55747</v>
      </c>
      <c r="D95" t="n">
        <v>-5.56451</v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Kein bekanntes Fernwärmenetz in der Nähe</t>
        </is>
      </c>
    </row>
    <row r="96">
      <c r="A96" t="inlineStr">
        <is>
          <t>RO5TM_528</t>
        </is>
      </c>
      <c r="B96" t="inlineStr">
        <is>
          <t>ROWP RA Aquatim Timisoara</t>
        </is>
      </c>
      <c r="C96" t="n">
        <v>45.735</v>
      </c>
      <c r="D96" t="n">
        <v>21.173</v>
      </c>
      <c r="E96" t="inlineStr">
        <is>
          <t>Existing</t>
        </is>
      </c>
      <c r="J96" t="n">
        <v>1.32</v>
      </c>
      <c r="L96" t="inlineStr">
        <is>
          <t>World Bank Document</t>
        </is>
      </c>
    </row>
    <row r="97">
      <c r="A97" t="inlineStr">
        <is>
          <t>FR0531555V018</t>
        </is>
      </c>
      <c r="B97" t="inlineStr">
        <is>
          <t>TOULOUSE GINESTOUS</t>
        </is>
      </c>
      <c r="C97" t="n">
        <v>43.6290403443</v>
      </c>
      <c r="D97" t="n">
        <v>1.4177713608</v>
      </c>
      <c r="E97" t="inlineStr">
        <is>
          <t>Existing</t>
        </is>
      </c>
      <c r="G97" t="n">
        <v>120</v>
      </c>
      <c r="H97" t="n">
        <v>90</v>
      </c>
      <c r="I97" t="inlineStr">
        <is>
          <t>Heizwasser</t>
        </is>
      </c>
      <c r="J97" t="n">
        <v>2.5</v>
      </c>
      <c r="K97" t="inlineStr">
        <is>
          <t>2 Netze</t>
        </is>
      </c>
      <c r="L97" t="inlineStr">
        <is>
          <t>Carte nationale des réseaux de chaleur et de froid en France</t>
        </is>
      </c>
      <c r="M97" t="inlineStr">
        <is>
          <t>Wie funktioniert es? | Dalkiafactory</t>
        </is>
      </c>
    </row>
    <row r="98">
      <c r="A98" t="inlineStr">
        <is>
          <t>ES10462501014011E</t>
        </is>
      </c>
      <c r="B98" t="inlineStr">
        <is>
          <t>PINEDO 1</t>
        </is>
      </c>
      <c r="C98" t="n">
        <v>39.43153</v>
      </c>
      <c r="D98" t="n">
        <v>-0.344559</v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Kein bekanntes Fernwärmenetz in der Nähe</t>
        </is>
      </c>
    </row>
    <row r="99">
      <c r="A99" t="inlineStr">
        <is>
          <t>IT09RT0017</t>
        </is>
      </c>
      <c r="B99" t="inlineStr">
        <is>
          <t>Idl_San_Colombano</t>
        </is>
      </c>
      <c r="C99" t="n">
        <v>43.77958</v>
      </c>
      <c r="D99" t="n">
        <v>11.12754</v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Kein bekanntes Fernwärmenetz in der Nähe</t>
        </is>
      </c>
    </row>
    <row r="100">
      <c r="A100" t="inlineStr">
        <is>
          <t>ES10030140002011E</t>
        </is>
      </c>
      <c r="B100" t="inlineStr">
        <is>
          <t>MONTE ORGEGIA</t>
        </is>
      </c>
      <c r="C100" t="n">
        <v>38.383221</v>
      </c>
      <c r="D100" t="n">
        <v>-0.464619</v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Kein bekanntes Fernwärmenetz in der Nähe</t>
        </is>
      </c>
    </row>
    <row r="101">
      <c r="A101" t="inlineStr">
        <is>
          <t>DETP_NW601</t>
        </is>
      </c>
      <c r="B101" t="inlineStr">
        <is>
          <t>Düsseldorf-Süd</t>
        </is>
      </c>
      <c r="C101" t="n">
        <v>51.1941</v>
      </c>
      <c r="D101" t="n">
        <v>6.73894</v>
      </c>
      <c r="E101" t="inlineStr">
        <is>
          <t>Existing</t>
        </is>
      </c>
      <c r="G101" t="n">
        <v>140</v>
      </c>
      <c r="H101" t="n">
        <v>55</v>
      </c>
      <c r="I101" t="inlineStr">
        <is>
          <t>Heizwasser</t>
        </is>
      </c>
      <c r="J101" t="n">
        <v>1.87</v>
      </c>
      <c r="L101" t="inlineStr">
        <is>
          <t>202504_Ergebnisse_Bestand_Potenzial_KWP_Duesseldorf.pdf</t>
        </is>
      </c>
      <c r="M101" t="inlineStr">
        <is>
          <t>TAB Innenstadt und Linksrheinisches Wärmenetz</t>
        </is>
      </c>
    </row>
    <row r="102">
      <c r="A102" t="inlineStr">
        <is>
          <t>EL122001013</t>
        </is>
      </c>
      <c r="B102" t="inlineStr">
        <is>
          <t>THESSALONIKI</t>
        </is>
      </c>
      <c r="C102" t="n">
        <v>40.66084791</v>
      </c>
      <c r="D102" t="n">
        <v>22.83382081</v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Kein bekanntes Fernwärmenetz in der Nähe</t>
        </is>
      </c>
    </row>
    <row r="103">
      <c r="A103" t="inlineStr">
        <is>
          <t>DETP_NW2104</t>
        </is>
      </c>
      <c r="B103" t="inlineStr">
        <is>
          <t>Mönchengladbach GWK I</t>
        </is>
      </c>
      <c r="C103" t="n">
        <v>51.2431</v>
      </c>
      <c r="D103" t="n">
        <v>6.4643</v>
      </c>
      <c r="E103" t="inlineStr">
        <is>
          <t>Existing</t>
        </is>
      </c>
      <c r="G103" t="inlineStr">
        <is>
          <t>-</t>
        </is>
      </c>
      <c r="H103" t="inlineStr">
        <is>
          <t>-</t>
        </is>
      </c>
      <c r="I103" t="inlineStr">
        <is>
          <t>Heizwasser</t>
        </is>
      </c>
      <c r="J103" t="n">
        <v>3.74</v>
      </c>
      <c r="K103" t="inlineStr">
        <is>
          <t>Entfernung zu potenziellem Netzgebiet</t>
        </is>
      </c>
      <c r="L103" t="inlineStr">
        <is>
          <t>PowerPoint-Präsentation</t>
        </is>
      </c>
    </row>
    <row r="104">
      <c r="A104" t="inlineStr">
        <is>
          <t>DK6070012</t>
        </is>
      </c>
      <c r="B104" t="inlineStr">
        <is>
          <t>FREDERICIA CENTRALRENS.</t>
        </is>
      </c>
      <c r="C104" t="n">
        <v>55.55213004</v>
      </c>
      <c r="D104" t="n">
        <v>9.719915889999999</v>
      </c>
      <c r="E104" t="inlineStr">
        <is>
          <t>Existing</t>
        </is>
      </c>
      <c r="G104" t="n">
        <v>120</v>
      </c>
      <c r="H104" t="n">
        <v>40</v>
      </c>
      <c r="I104" t="inlineStr">
        <is>
          <t>Heizwasser</t>
        </is>
      </c>
      <c r="J104" t="n">
        <v>0.319</v>
      </c>
      <c r="K104" t="inlineStr">
        <is>
          <t>ElyHeat wird schon genutzt im Norden der Stadt</t>
        </is>
      </c>
      <c r="L104" t="inlineStr">
        <is>
          <t>Large-scale transmission network as key to utilising surplus heat for district heating</t>
        </is>
      </c>
      <c r="M104" t="inlineStr">
        <is>
          <t>TVIS_tillæg-varmeplan-2021-002.pdf</t>
        </is>
      </c>
      <c r="N104" t="inlineStr">
        <is>
          <t>installationsvejledning-23.pdf</t>
        </is>
      </c>
      <c r="O104" t="inlineStr">
        <is>
          <t>flexcities2-transmissionssystemer-final.pdf</t>
        </is>
      </c>
    </row>
    <row r="105">
      <c r="A105" t="inlineStr">
        <is>
          <t>UKENTH_TWU_TP000054</t>
        </is>
      </c>
      <c r="B105" t="inlineStr">
        <is>
          <t>LONDON (Deepham STW)</t>
        </is>
      </c>
      <c r="C105" t="n">
        <v>51.62101927</v>
      </c>
      <c r="D105" t="n">
        <v>-0.041789201</v>
      </c>
      <c r="E105" t="inlineStr">
        <is>
          <t>Existing</t>
        </is>
      </c>
      <c r="G105" t="inlineStr">
        <is>
          <t>-</t>
        </is>
      </c>
      <c r="H105" t="inlineStr">
        <is>
          <t>-</t>
        </is>
      </c>
      <c r="I105" t="inlineStr">
        <is>
          <t>Heizwasser</t>
        </is>
      </c>
      <c r="J105" t="n">
        <v>1.26</v>
      </c>
      <c r="K105" t="inlineStr">
        <is>
          <t>Netz wird ausgebaut</t>
        </is>
      </c>
      <c r="L105" t="inlineStr">
        <is>
          <t>Map: Meridian Water Heat Network - energetik</t>
        </is>
      </c>
      <c r="M105" t="inlineStr">
        <is>
          <t>Heatmap</t>
        </is>
      </c>
    </row>
    <row r="106">
      <c r="A106" t="inlineStr">
        <is>
          <t>ES3330242402020E</t>
        </is>
      </c>
      <c r="B106" t="inlineStr">
        <is>
          <t>GIJON OESTE</t>
        </is>
      </c>
      <c r="C106" t="n">
        <v>43.555</v>
      </c>
      <c r="D106" t="n">
        <v>-5.717</v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Kein bekanntes Fernwärmenetz in der Nähe</t>
        </is>
      </c>
    </row>
    <row r="107">
      <c r="A107" t="inlineStr">
        <is>
          <t>FR037800501000</t>
        </is>
      </c>
      <c r="B107" t="inlineStr">
        <is>
          <t>PARIS SEINE AVAL</t>
        </is>
      </c>
      <c r="C107" t="n">
        <v>48.9775386729</v>
      </c>
      <c r="D107" t="n">
        <v>2.1675782003</v>
      </c>
      <c r="E107" t="inlineStr">
        <is>
          <t>Existing</t>
        </is>
      </c>
      <c r="I107" t="inlineStr">
        <is>
          <t>Heizwasser</t>
        </is>
      </c>
      <c r="J107" t="n">
        <v>3</v>
      </c>
      <c r="K107" t="inlineStr">
        <is>
          <t>Netz auf anderer Seite der Seine, Heat recovery system</t>
        </is>
      </c>
      <c r="L107" t="inlineStr">
        <is>
          <t>Carte nationale des réseaux de chaleur et de froid en France</t>
        </is>
      </c>
      <c r="M107" t="inlineStr">
        <is>
          <t>Veolia and SIAAP inaugurate a new primary settling unit for wastewater treatment, combining industrial performance and environmental preservation at the Seine Aval site - IDRA | The Global Desalination and Water Reuse Community</t>
        </is>
      </c>
    </row>
    <row r="108">
      <c r="A108" t="inlineStr">
        <is>
          <t>CZ4205-763691-26161516-4/1U</t>
        </is>
      </c>
      <c r="B108" t="inlineStr">
        <is>
          <t>COV Steti -Papirny Mondi</t>
        </is>
      </c>
      <c r="C108" t="n">
        <v>50.465</v>
      </c>
      <c r="D108" t="n">
        <v>14.3669</v>
      </c>
      <c r="E108" t="inlineStr">
        <is>
          <t>Existing</t>
        </is>
      </c>
      <c r="G108" t="inlineStr">
        <is>
          <t>-</t>
        </is>
      </c>
      <c r="H108" t="inlineStr">
        <is>
          <t>-</t>
        </is>
      </c>
      <c r="I108" t="inlineStr">
        <is>
          <t>Heizwasser</t>
        </is>
      </c>
      <c r="J108" t="n">
        <v>0.9</v>
      </c>
      <c r="K108" t="inlineStr">
        <is>
          <t>auch Kombination mit Abwärme aus Papierfabrikl denkbar/Z Entfernung bis Häuser</t>
        </is>
      </c>
      <c r="L108" t="inlineStr">
        <is>
          <t>Poznejte tepelné hospodářství ve Štětí - RATE s.r.o.</t>
        </is>
      </c>
      <c r="M108" t="inlineStr">
        <is>
          <t>PŘEDSTAVENÍ SPOLEČNOSTI R A T E s.r.o.</t>
        </is>
      </c>
      <c r="N108" t="inlineStr">
        <is>
          <t>Štětí.cz - Hauptabschaltung von Mondi Štětí 2025</t>
        </is>
      </c>
    </row>
    <row r="109">
      <c r="A109" t="inlineStr">
        <is>
          <t>PLLE0010</t>
        </is>
      </c>
      <c r="B109" t="inlineStr">
        <is>
          <t>Lublin-Hajdów</t>
        </is>
      </c>
      <c r="C109" t="n">
        <v>51.2633</v>
      </c>
      <c r="D109" t="n">
        <v>22.6236</v>
      </c>
      <c r="E109" t="inlineStr">
        <is>
          <t>Existing</t>
        </is>
      </c>
      <c r="G109" t="n">
        <v>130</v>
      </c>
      <c r="H109" t="n">
        <v>65</v>
      </c>
      <c r="I109" t="inlineStr">
        <is>
          <t>Heizwasser</t>
        </is>
      </c>
      <c r="J109" t="n">
        <v>2.33</v>
      </c>
      <c r="K109" t="inlineStr">
        <is>
          <t>Entfernung zu Ortsteil-Schwerpunkt, keine genauen Daten</t>
        </is>
      </c>
      <c r="L109" t="inlineStr">
        <is>
          <t>Lublin wird sein Wärmenetz ausbauen. Die Bewohner erhalten Fernwärme</t>
        </is>
      </c>
      <c r="M109" t="inlineStr">
        <is>
          <t>140416-warunki-przylaczenia-do-sieci-cieplowniczej-lpec.pdf</t>
        </is>
      </c>
    </row>
    <row r="110">
      <c r="A110" t="inlineStr">
        <is>
          <t>LV100175</t>
        </is>
      </c>
      <c r="B110" t="inlineStr">
        <is>
          <t>BAI "Daugavgrīva"</t>
        </is>
      </c>
      <c r="C110" t="n">
        <v>57.026</v>
      </c>
      <c r="D110" t="n">
        <v>24.001</v>
      </c>
      <c r="E110" t="inlineStr">
        <is>
          <t>Existing</t>
        </is>
      </c>
      <c r="F110" t="inlineStr">
        <is>
          <t>Planned</t>
        </is>
      </c>
      <c r="J110" t="n">
        <v>0</v>
      </c>
      <c r="K110" t="inlineStr">
        <is>
          <t>Direkt angeschlossen</t>
        </is>
      </c>
      <c r="L110" t="inlineStr">
        <is>
          <t>Microsoft Word - D2.2_Riga_ENG</t>
        </is>
      </c>
      <c r="M110" t="inlineStr">
        <is>
          <t>ENABLE DHC: Developing Strategies and Investment Plans for Efficient District Heating and Cooling Based on Multiple Energy Sources and Digitalization – Smart Riga</t>
        </is>
      </c>
    </row>
    <row r="111">
      <c r="A111" t="inlineStr">
        <is>
          <t>UKENNW_UU_TP000133</t>
        </is>
      </c>
      <c r="B111" t="inlineStr">
        <is>
          <t>WIGAN (HOSCAR) STW</t>
        </is>
      </c>
      <c r="C111" t="n">
        <v>53.5985267</v>
      </c>
      <c r="D111" t="n">
        <v>-2.784610505</v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Kein bekanntes Fernwärmenetz in der Nähe</t>
        </is>
      </c>
    </row>
    <row r="112">
      <c r="A112" t="inlineStr">
        <is>
          <t>ES6390850005010E</t>
        </is>
      </c>
      <c r="B112" t="inlineStr">
        <is>
          <t>VUELTA OSTRERA</t>
        </is>
      </c>
      <c r="C112" t="n">
        <v>43.40312</v>
      </c>
      <c r="D112" t="n">
        <v>-4.02884</v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Kein bekanntes Fernwärmenetz in der Nähe</t>
        </is>
      </c>
    </row>
    <row r="113">
      <c r="A113" t="inlineStr">
        <is>
          <t>IT15Q15000000002</t>
        </is>
      </c>
      <c r="B113" t="inlineStr">
        <is>
          <t>Orta_Di_Atella_Ce_Impianto_Napoli_Nord</t>
        </is>
      </c>
      <c r="C113" t="n">
        <v>40.9954</v>
      </c>
      <c r="D113" t="n">
        <v>14.2894</v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Kein bekanntes Fernwärmenetz in der Nähe</t>
        </is>
      </c>
    </row>
    <row r="114">
      <c r="A114" t="inlineStr">
        <is>
          <t>FR060969152001</t>
        </is>
      </c>
      <c r="B114" t="inlineStr">
        <is>
          <t>LYON - PIERRE BÉNITE</t>
        </is>
      </c>
      <c r="C114" t="n">
        <v>45.6925110141</v>
      </c>
      <c r="D114" t="n">
        <v>4.8348233813</v>
      </c>
      <c r="E114" t="inlineStr">
        <is>
          <t>Planned</t>
        </is>
      </c>
      <c r="F114" t="inlineStr">
        <is>
          <t>Planned</t>
        </is>
      </c>
      <c r="G114" t="n">
        <v>30</v>
      </c>
      <c r="I114" t="inlineStr">
        <is>
          <t>Heizwasser</t>
        </is>
      </c>
      <c r="J114" t="n">
        <v>0</v>
      </c>
      <c r="K114" t="inlineStr">
        <is>
          <t>Direkt angebunden</t>
        </is>
      </c>
      <c r="L114" t="inlineStr">
        <is>
          <t>Funktionsweise des Fernwärmenetzes im Südwesten von Lyon - Chauffage Urbain Sud-Ouest Lyonnais</t>
        </is>
      </c>
      <c r="M114" t="inlineStr">
        <is>
          <t>Carte nationale des réseaux de chaleur et de froid en France</t>
        </is>
      </c>
      <c r="N114" t="inlineStr">
        <is>
          <t>Lyon weiht ein Energieprojekt ein, das in Frankreich beispiellos ist: einen Wasserkreislauf für das Viertel La Saulaie in Oullins</t>
        </is>
      </c>
    </row>
    <row r="115">
      <c r="A115" t="inlineStr">
        <is>
          <t>IT15Q15000000001</t>
        </is>
      </c>
      <c r="B115" t="inlineStr">
        <is>
          <t>Caivano_Depuratore_Di_Acerra</t>
        </is>
      </c>
      <c r="C115" t="n">
        <v>40.9715</v>
      </c>
      <c r="D115" t="n">
        <v>14.3488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Kein bekanntes Fernwärmenetz in der Nähe</t>
        </is>
      </c>
    </row>
    <row r="116">
      <c r="A116" t="inlineStr">
        <is>
          <t>CZ6203-697931-46347275-4/1U</t>
        </is>
      </c>
      <c r="B116" t="inlineStr">
        <is>
          <t>COV Brno - Modrice</t>
        </is>
      </c>
      <c r="C116" t="n">
        <v>49.1284</v>
      </c>
      <c r="D116" t="n">
        <v>16.6308</v>
      </c>
      <c r="E116" t="inlineStr">
        <is>
          <t>Existing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Netz zu weit entfernt</t>
        </is>
      </c>
      <c r="L116" t="inlineStr">
        <is>
          <t>PowerPoint Presentation</t>
        </is>
      </c>
      <c r="M116" t="inlineStr">
        <is>
          <t>mapa----------TISK.dgn</t>
        </is>
      </c>
    </row>
    <row r="117">
      <c r="A117" t="inlineStr">
        <is>
          <t>RO1IS_51</t>
        </is>
      </c>
      <c r="B117" t="inlineStr">
        <is>
          <t>ROWP DANCU IASI</t>
        </is>
      </c>
      <c r="C117" t="n">
        <v>47.156</v>
      </c>
      <c r="D117" t="n">
        <v>27.594</v>
      </c>
      <c r="E117" t="inlineStr">
        <is>
          <t>Existing</t>
        </is>
      </c>
      <c r="J117" t="n">
        <v>1.37</v>
      </c>
      <c r="K117" t="inlineStr">
        <is>
          <t>Koordinaten Anlage falsch / 47,148496 27,658610</t>
        </is>
      </c>
      <c r="L117" t="inlineStr">
        <is>
          <t>1596628202-Proiect plan actiune energia durabila si clima.pdf</t>
        </is>
      </c>
    </row>
    <row r="118">
      <c r="A118" t="inlineStr">
        <is>
          <t>DETP_BYAB-K0033</t>
        </is>
      </c>
      <c r="B118" t="inlineStr">
        <is>
          <t>Würzburg</t>
        </is>
      </c>
      <c r="C118" t="n">
        <v>49.7986</v>
      </c>
      <c r="D118" t="n">
        <v>9.89728</v>
      </c>
      <c r="E118" t="inlineStr">
        <is>
          <t>Existing</t>
        </is>
      </c>
      <c r="G118" t="n">
        <v>200</v>
      </c>
      <c r="H118" t="n">
        <v>50</v>
      </c>
      <c r="I118" t="inlineStr">
        <is>
          <t>Dampf</t>
        </is>
      </c>
      <c r="J118" t="n">
        <v>0.1</v>
      </c>
      <c r="K118" t="inlineStr">
        <is>
          <t>Netz in unmittelbarer nähe</t>
        </is>
      </c>
      <c r="L118" t="inlineStr">
        <is>
          <t>Themen | Umwelt und Klima - Fahrplan</t>
        </is>
      </c>
      <c r="M118" t="inlineStr">
        <is>
          <t>Technische Anschlussbedingungen Heißwassernetz (TAB HW 2010) der Stadtwerke Würzburg</t>
        </is>
      </c>
    </row>
    <row r="119">
      <c r="A119" t="inlineStr">
        <is>
          <t>HU-WWTP-AIA512</t>
        </is>
      </c>
      <c r="B119" t="inlineStr">
        <is>
          <t>Debrecen - Szennyviztisztito Telep</t>
        </is>
      </c>
      <c r="C119" t="n">
        <v>47.503754</v>
      </c>
      <c r="D119" t="n">
        <v>21.596857</v>
      </c>
      <c r="E119" t="inlineStr">
        <is>
          <t>Existing</t>
        </is>
      </c>
      <c r="G119" t="n">
        <v>140</v>
      </c>
      <c r="H119" t="n">
        <v>70</v>
      </c>
      <c r="I119" t="inlineStr">
        <is>
          <t>Heizwasser</t>
        </is>
      </c>
      <c r="K119" t="inlineStr">
        <is>
          <t>Keine guten Daten, aber Wärmeabwasserpumpen im Gespräch</t>
        </is>
      </c>
      <c r="L119" t="inlineStr">
        <is>
          <t>Kovács Zsolt DHZRT Hőtermelés szennyvíztisztító üzem területén telepített hőszivattyú segítségével [</t>
        </is>
      </c>
      <c r="M119" t="inlineStr">
        <is>
          <t>DHZRT Kovács Zsolt 2022 10 13 weblapra [Írásvédett]</t>
        </is>
      </c>
      <c r="N119" t="inlineStr">
        <is>
          <t>Debreceni Hőszolgáltató Zrt.</t>
        </is>
      </c>
    </row>
    <row r="120">
      <c r="A120" t="inlineStr">
        <is>
          <t>DETP_BW1215100000017</t>
        </is>
      </c>
      <c r="B120" t="inlineStr">
        <is>
          <t>SKA Heilbronn</t>
        </is>
      </c>
      <c r="C120" t="n">
        <v>49.1794</v>
      </c>
      <c r="D120" t="n">
        <v>9.21649</v>
      </c>
      <c r="E120" t="inlineStr">
        <is>
          <t>Existing</t>
        </is>
      </c>
      <c r="G120" t="n">
        <v>120</v>
      </c>
      <c r="H120" t="n">
        <v>45</v>
      </c>
      <c r="I120" t="inlineStr">
        <is>
          <t>Heizwasser</t>
        </is>
      </c>
      <c r="J120" t="n">
        <v>0.1</v>
      </c>
      <c r="K120" t="inlineStr">
        <is>
          <t>Planung und Umstellung auf H2-fähiges Kraftwerk, Fernwärmenetz verläuft direkt neben Anlage</t>
        </is>
      </c>
      <c r="L120" t="inlineStr">
        <is>
          <t>Erneuerung des Fernwärmeleitungsnetzes Heilbronn | EnBW</t>
        </is>
      </c>
      <c r="N120" t="inlineStr">
        <is>
          <t>Zuverlässige Infrastruktur für Gas und Wärme in Heilbronn und Region</t>
        </is>
      </c>
      <c r="O120" t="inlineStr">
        <is>
          <t>EnBW_Fernw_rme_-_Heilbronn_-_Neckarsulm-1-.pdf</t>
        </is>
      </c>
      <c r="P120" t="inlineStr">
        <is>
          <t>TAB_Heilbronn_Neckarsulm_Stand_01.07.2023.pdf</t>
        </is>
      </c>
    </row>
    <row r="121">
      <c r="A121" t="inlineStr">
        <is>
          <t>ES1110200014010E</t>
        </is>
      </c>
      <c r="B121" t="inlineStr">
        <is>
          <t>GUADALETE</t>
        </is>
      </c>
      <c r="C121" t="n">
        <v>36.6452</v>
      </c>
      <c r="D121" t="n">
        <v>-6.12837</v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Kein bekanntes Fernwärmenetz in der Nähe</t>
        </is>
      </c>
    </row>
    <row r="122">
      <c r="A122" t="inlineStr">
        <is>
          <t>PLWL1330</t>
        </is>
      </c>
      <c r="B122" t="inlineStr">
        <is>
          <t>Dopiewo</t>
        </is>
      </c>
      <c r="C122" t="n">
        <v>52.3367</v>
      </c>
      <c r="D122" t="n">
        <v>16.6704</v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Kein bekanntes Fernwärmenetz in der Nähe</t>
        </is>
      </c>
    </row>
    <row r="123">
      <c r="A123" t="inlineStr">
        <is>
          <t>DETP_NW2101</t>
        </is>
      </c>
      <c r="B123" t="inlineStr">
        <is>
          <t>Düsseldorf-Nord</t>
        </is>
      </c>
      <c r="C123" t="n">
        <v>51.2781</v>
      </c>
      <c r="D123" t="n">
        <v>6.69058</v>
      </c>
      <c r="E123" t="inlineStr">
        <is>
          <t>Existing</t>
        </is>
      </c>
      <c r="G123" t="n">
        <v>140</v>
      </c>
      <c r="H123" t="n">
        <v>55</v>
      </c>
      <c r="I123" t="inlineStr">
        <is>
          <t>Heizwasser</t>
        </is>
      </c>
      <c r="J123" t="n">
        <v>4.23</v>
      </c>
      <c r="L123" t="inlineStr">
        <is>
          <t>202504_Ergebnisse_Bestand_Potenzial_KWP_Duesseldorf.pdf</t>
        </is>
      </c>
      <c r="M123" t="inlineStr">
        <is>
          <t>TAB Innenstadt und Linksrheinisches Wärmenetz</t>
        </is>
      </c>
    </row>
    <row r="124">
      <c r="A124" t="inlineStr">
        <is>
          <t>IT01000000000043</t>
        </is>
      </c>
      <c r="B124" t="inlineStr">
        <is>
          <t>Castiglione</t>
        </is>
      </c>
      <c r="C124" t="n">
        <v>45.1367998672</v>
      </c>
      <c r="D124" t="n">
        <v>7.7977247761</v>
      </c>
      <c r="E124" t="inlineStr">
        <is>
          <t>Existing</t>
        </is>
      </c>
      <c r="I124" t="inlineStr">
        <is>
          <t>Heizwasser</t>
        </is>
      </c>
      <c r="K124" t="inlineStr">
        <is>
          <t>Netz vorhanden aber keine pläne gefunden. Entfernung Stadtzentrum 2 km</t>
        </is>
      </c>
      <c r="L124" t="inlineStr">
        <is>
          <t>Servizi a rete Tour 2017 - Torino 17-18 Maggio</t>
        </is>
      </c>
      <c r="M124" t="inlineStr">
        <is>
          <t>Settimo Fernwärme | ENGIE</t>
        </is>
      </c>
    </row>
    <row r="125">
      <c r="A125" t="inlineStr">
        <is>
          <t>FR037862401000</t>
        </is>
      </c>
      <c r="B125" t="inlineStr">
        <is>
          <t>PARIS SEINE GRÉSILLONS</t>
        </is>
      </c>
      <c r="C125" t="n">
        <v>48.9524257235</v>
      </c>
      <c r="D125" t="n">
        <v>2.0161380376</v>
      </c>
      <c r="E125" t="inlineStr">
        <is>
          <t>Existing</t>
        </is>
      </c>
      <c r="I125" t="inlineStr">
        <is>
          <t>Heizwasser</t>
        </is>
      </c>
      <c r="J125" t="n">
        <v>2.06</v>
      </c>
      <c r="K125" t="inlineStr">
        <is>
          <t>Kleines Netz</t>
        </is>
      </c>
      <c r="L125" t="inlineStr">
        <is>
          <t>Carte nationale des réseaux de chaleur et de froid en France</t>
        </is>
      </c>
    </row>
    <row r="126">
      <c r="A126" t="inlineStr">
        <is>
          <t>DETP_NW3008</t>
        </is>
      </c>
      <c r="B126" t="inlineStr">
        <is>
          <t>Münster-Hauptkläranlage</t>
        </is>
      </c>
      <c r="C126" t="n">
        <v>52.0081</v>
      </c>
      <c r="D126" t="n">
        <v>7.65195</v>
      </c>
      <c r="E126" t="inlineStr">
        <is>
          <t>Existing</t>
        </is>
      </c>
      <c r="G126" t="inlineStr">
        <is>
          <t>-</t>
        </is>
      </c>
      <c r="H126" t="inlineStr">
        <is>
          <t>-</t>
        </is>
      </c>
      <c r="I126" t="inlineStr">
        <is>
          <t>Heizwasser</t>
        </is>
      </c>
      <c r="J126" t="n">
        <v>1.58</v>
      </c>
      <c r="K126" t="inlineStr">
        <is>
          <t>Wärmenetz in Coerde, Entfernung zu Ortsschwerpunkt da kein Netz bekannt</t>
        </is>
      </c>
      <c r="L126" t="inlineStr">
        <is>
          <t>Klimaschutzteilkonzept-Erneuerbare-Energien-der-Stadt-Muenster.pdf</t>
        </is>
      </c>
      <c r="M126" t="inlineStr">
        <is>
          <t>https://www.stadt-muenster.de/klima/startseite</t>
        </is>
      </c>
    </row>
    <row r="127">
      <c r="A127" t="inlineStr">
        <is>
          <t>DETP_NW2138</t>
        </is>
      </c>
      <c r="B127" t="inlineStr">
        <is>
          <t>Neuss-Ost</t>
        </is>
      </c>
      <c r="C127" t="n">
        <v>51.2043</v>
      </c>
      <c r="D127" t="n">
        <v>6.72024</v>
      </c>
      <c r="E127" t="inlineStr">
        <is>
          <t>Existing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Kein bekanntes Fernwärmenetz in der Nähe</t>
        </is>
      </c>
      <c r="L127" t="inlineStr">
        <is>
          <t>Microsoft Word - 0 kWP-Neuss-Kurzfassung Abschlussbericht.docx</t>
        </is>
      </c>
      <c r="M127" t="inlineStr">
        <is>
          <t>Langfassung_der_kWP.pdf</t>
        </is>
      </c>
    </row>
    <row r="128">
      <c r="A128" t="inlineStr">
        <is>
          <t>ES6390750005010E</t>
        </is>
      </c>
      <c r="B128" t="inlineStr">
        <is>
          <t>SAN ROMÁN</t>
        </is>
      </c>
      <c r="C128" t="n">
        <v>43.47373</v>
      </c>
      <c r="D128" t="n">
        <v>-3.85333</v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Kein bekanntes Fernwärmenetz in der Nähe</t>
        </is>
      </c>
    </row>
    <row r="129">
      <c r="A129" t="inlineStr">
        <is>
          <t>UKENTH_TWU_TP000052</t>
        </is>
      </c>
      <c r="B129" t="inlineStr">
        <is>
          <t>LONDON (Crossness STW)</t>
        </is>
      </c>
      <c r="C129" t="n">
        <v>51.50675072</v>
      </c>
      <c r="D129" t="n">
        <v>0.146795464</v>
      </c>
      <c r="E129" t="inlineStr">
        <is>
          <t>Existing</t>
        </is>
      </c>
      <c r="G129" t="inlineStr">
        <is>
          <t>-</t>
        </is>
      </c>
      <c r="H129" t="inlineStr">
        <is>
          <t>-</t>
        </is>
      </c>
      <c r="I129" t="inlineStr">
        <is>
          <t>Heizwasser</t>
        </is>
      </c>
      <c r="J129" t="n">
        <v>0.546</v>
      </c>
      <c r="K129" t="inlineStr">
        <is>
          <t>Netz wird ausgebaut</t>
        </is>
      </c>
      <c r="L129" t="inlineStr">
        <is>
          <t>Heatmap</t>
        </is>
      </c>
    </row>
    <row r="130">
      <c r="A130" t="inlineStr">
        <is>
          <t>IT19SR00G7002DE001</t>
        </is>
      </c>
      <c r="B130" t="inlineStr">
        <is>
          <t>Impianto_C_Da_Magnisi_Casale_Vecchie_Saline_Depuratore_Ias_Priolo</t>
        </is>
      </c>
      <c r="C130" t="n">
        <v>37.14974</v>
      </c>
      <c r="D130" t="n">
        <v>15.208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Kein bekanntes Fernwärmenetz in der Nähe</t>
        </is>
      </c>
    </row>
    <row r="131">
      <c r="A131" t="inlineStr">
        <is>
          <t>PLDO0011</t>
        </is>
      </c>
      <c r="B131" t="inlineStr">
        <is>
          <t>Wrocławska Oczyszczalnia Ścieków</t>
        </is>
      </c>
      <c r="C131" t="n">
        <v>51.1936</v>
      </c>
      <c r="D131" t="n">
        <v>16.9088</v>
      </c>
      <c r="E131" t="inlineStr">
        <is>
          <t>Existing</t>
        </is>
      </c>
      <c r="I131" t="inlineStr">
        <is>
          <t>Heizwasser</t>
        </is>
      </c>
      <c r="J131" t="n">
        <v>3.67</v>
      </c>
      <c r="K131" t="inlineStr">
        <is>
          <t>Entfernung zu Ortsmittelpunkt, keine genauen Daten</t>
        </is>
      </c>
      <c r="L131" t="inlineStr">
        <is>
          <t>Fernwärmenetz in Maślice</t>
        </is>
      </c>
    </row>
    <row r="132">
      <c r="A132" t="inlineStr">
        <is>
          <t>ES9082790004050E</t>
        </is>
      </c>
      <c r="B132" t="inlineStr">
        <is>
          <t>TERRASSA</t>
        </is>
      </c>
      <c r="C132" t="n">
        <v>41.51974</v>
      </c>
      <c r="D132" t="n">
        <v>2.03559</v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Kein bekanntes Fernwärmenetz in der Nähe</t>
        </is>
      </c>
    </row>
    <row r="133">
      <c r="A133" t="inlineStr">
        <is>
          <t>UKENNW_UU_TP000042</t>
        </is>
      </c>
      <c r="B133" t="inlineStr">
        <is>
          <t>Manchester and Salford (Davyhulme)STW</t>
        </is>
      </c>
      <c r="C133" t="n">
        <v>53.46428282</v>
      </c>
      <c r="D133" t="n">
        <v>-2.381057605</v>
      </c>
      <c r="E133" t="inlineStr">
        <is>
          <t>Study</t>
        </is>
      </c>
      <c r="G133" t="inlineStr">
        <is>
          <t>-</t>
        </is>
      </c>
      <c r="H133" t="inlineStr">
        <is>
          <t>-</t>
        </is>
      </c>
      <c r="I133" t="inlineStr">
        <is>
          <t>Heizwasser</t>
        </is>
      </c>
      <c r="J133" t="inlineStr">
        <is>
          <t>-</t>
        </is>
      </c>
      <c r="K133" t="inlineStr">
        <is>
          <t>direkt neben potentiellem Gebiet</t>
        </is>
      </c>
      <c r="L133" t="inlineStr">
        <is>
          <t>Heat network zoning map: Greater Manchester</t>
        </is>
      </c>
    </row>
    <row r="134">
      <c r="A134" t="inlineStr">
        <is>
          <t>IT09RT0504</t>
        </is>
      </c>
      <c r="B134" t="inlineStr">
        <is>
          <t>Idi_Aquarno</t>
        </is>
      </c>
      <c r="C134" t="n">
        <v>43.73266</v>
      </c>
      <c r="D134" t="n">
        <v>10.76001</v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Kein bekanntes Fernwärmenetz in der Nähe</t>
        </is>
      </c>
    </row>
    <row r="135">
      <c r="A135" t="inlineStr">
        <is>
          <t>ES1410910002012E</t>
        </is>
      </c>
      <c r="B135" t="inlineStr">
        <is>
          <t>COPERO</t>
        </is>
      </c>
      <c r="C135" t="n">
        <v>37.31031</v>
      </c>
      <c r="D135" t="n">
        <v>-5.98694</v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Kein bekanntes Fernwärmenetz in der Nähe</t>
        </is>
      </c>
    </row>
    <row r="136">
      <c r="A136" t="inlineStr">
        <is>
          <t>FR025745200219</t>
        </is>
      </c>
      <c r="B136" t="inlineStr">
        <is>
          <t>METZ</t>
        </is>
      </c>
      <c r="C136" t="n">
        <v>49.1453885397</v>
      </c>
      <c r="D136" t="n">
        <v>6.1925310146</v>
      </c>
      <c r="E136" t="inlineStr">
        <is>
          <t>Existing</t>
        </is>
      </c>
      <c r="G136" t="n">
        <v>160</v>
      </c>
      <c r="H136" t="n">
        <v>80</v>
      </c>
      <c r="I136" t="inlineStr">
        <is>
          <t>Heizwasser</t>
        </is>
      </c>
      <c r="J136" t="n">
        <v>0.1</v>
      </c>
      <c r="K136" t="inlineStr">
        <is>
          <t>Netz verläuft direkt neben Anlage</t>
        </is>
      </c>
      <c r="L136" t="inlineStr">
        <is>
          <t>Chauffage urbain à Metz - France Chaleur Urbaine</t>
        </is>
      </c>
      <c r="M136" t="inlineStr">
        <is>
          <t>01M1.xls</t>
        </is>
      </c>
    </row>
    <row r="137">
      <c r="A137" t="inlineStr">
        <is>
          <t>FIJVP_O000000000101</t>
        </is>
      </c>
      <c r="B137" t="inlineStr">
        <is>
          <t>TP (101) of Helsingin kt.</t>
        </is>
      </c>
      <c r="C137" t="n">
        <v>60.22436</v>
      </c>
      <c r="D137" t="n">
        <v>24.98851</v>
      </c>
      <c r="E137" t="inlineStr">
        <is>
          <t>Existing</t>
        </is>
      </c>
      <c r="G137" t="n">
        <v>120</v>
      </c>
      <c r="H137" t="n">
        <v>65</v>
      </c>
      <c r="I137" t="inlineStr">
        <is>
          <t>Heizwasser</t>
        </is>
      </c>
      <c r="J137" t="n">
        <v>0.1</v>
      </c>
      <c r="K137" t="inlineStr">
        <is>
          <t>Netz verläuft direkt neben Anlage</t>
        </is>
      </c>
      <c r="L137" t="inlineStr">
        <is>
          <t>heating-system-in-helsinki.pdf</t>
        </is>
      </c>
      <c r="M137" t="inlineStr">
        <is>
          <t>Integrated district heating and cooling - Energy Cities</t>
        </is>
      </c>
      <c r="N137" t="inlineStr">
        <is>
          <t>kaukolämmön-yleiset-sopimusehdot-01-2024-eng.pdf</t>
        </is>
      </c>
    </row>
    <row r="138">
      <c r="A138" t="inlineStr">
        <is>
          <t>ES14300160001030E</t>
        </is>
      </c>
      <c r="B138" t="inlineStr">
        <is>
          <t>CARTAGENA (CABEZO BEAZA)</t>
        </is>
      </c>
      <c r="C138" t="n">
        <v>37.63503</v>
      </c>
      <c r="D138" t="n">
        <v>-0.95108</v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Kein bekanntes Fernwärmenetz in der Nähe</t>
        </is>
      </c>
    </row>
    <row r="139">
      <c r="A139" t="inlineStr">
        <is>
          <t>IT15Q15000000006</t>
        </is>
      </c>
      <c r="B139" t="inlineStr">
        <is>
          <t>Marcianise_Ce_Depuratore_Di_Marcianise</t>
        </is>
      </c>
      <c r="C139" t="n">
        <v>41.018</v>
      </c>
      <c r="D139" t="n">
        <v>14.2593</v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Kein bekanntes Fernwärmenetz in der Nähe</t>
        </is>
      </c>
    </row>
    <row r="140">
      <c r="A140" t="inlineStr">
        <is>
          <t>DETP_BYDON-K0220</t>
        </is>
      </c>
      <c r="B140" t="inlineStr">
        <is>
          <t>Zweckverband Klärwerk Steinhäule</t>
        </is>
      </c>
      <c r="C140" t="n">
        <v>48.4256</v>
      </c>
      <c r="D140" t="n">
        <v>10.031</v>
      </c>
      <c r="E140" t="inlineStr">
        <is>
          <t>Existing</t>
        </is>
      </c>
      <c r="G140" t="n">
        <v>110</v>
      </c>
      <c r="H140" t="n">
        <v>60</v>
      </c>
      <c r="I140" t="inlineStr">
        <is>
          <t>Heizwasser</t>
        </is>
      </c>
      <c r="J140" t="n">
        <v>0.764</v>
      </c>
      <c r="K140" t="inlineStr">
        <is>
          <t>FWN ist 0,764 km entfernt. Aber auf anderer Flusseite und Bergauf.</t>
        </is>
      </c>
      <c r="L140" t="inlineStr">
        <is>
          <t>versorgungsnetz_plan.pdf</t>
        </is>
      </c>
      <c r="M140" t="inlineStr">
        <is>
          <t>Ulm: Grüne Fernwärme</t>
        </is>
      </c>
      <c r="N140" t="inlineStr">
        <is>
          <t>Stadt Ulm - Kommunale Wärmeplanung in Ulm</t>
        </is>
      </c>
    </row>
    <row r="141">
      <c r="A141" t="inlineStr">
        <is>
          <t>UKENNE_YW_TP000082</t>
        </is>
      </c>
      <c r="B141" t="inlineStr">
        <is>
          <t>BRADFORD ESHOLT STW</t>
        </is>
      </c>
      <c r="C141" t="n">
        <v>53.8446587</v>
      </c>
      <c r="D141" t="n">
        <v>-1.713028214</v>
      </c>
      <c r="E141" t="inlineStr">
        <is>
          <t>Existing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Netz zuweit entfernt</t>
        </is>
      </c>
      <c r="L141" t="inlineStr">
        <is>
          <t>Bradford Energy Network Case Study 2024</t>
        </is>
      </c>
    </row>
    <row r="142">
      <c r="A142" t="inlineStr">
        <is>
          <t>FR0444109S0011</t>
        </is>
      </c>
      <c r="B142" t="inlineStr">
        <is>
          <t>NANTES 1-TOUGAS</t>
        </is>
      </c>
      <c r="C142" t="n">
        <v>47.1968154241</v>
      </c>
      <c r="D142" t="n">
        <v>-1.6307432791</v>
      </c>
      <c r="E142" t="inlineStr">
        <is>
          <t>Existing</t>
        </is>
      </c>
      <c r="I142" t="inlineStr">
        <is>
          <t>Heizwasser</t>
        </is>
      </c>
      <c r="J142" t="n">
        <v>1.6</v>
      </c>
      <c r="K142" t="inlineStr">
        <is>
          <t>2 Netze in Reichweite</t>
        </is>
      </c>
      <c r="L142" t="inlineStr">
        <is>
          <t>Carte nationale des réseaux de chaleur et de froid en France</t>
        </is>
      </c>
    </row>
    <row r="143">
      <c r="A143" t="inlineStr">
        <is>
          <t>ES7372740002010E</t>
        </is>
      </c>
      <c r="B143" t="inlineStr">
        <is>
          <t>SALAMANCA</t>
        </is>
      </c>
      <c r="C143" t="n">
        <v>40.97077</v>
      </c>
      <c r="D143" t="n">
        <v>-5.71456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Kein bekanntes Fernwärmenetz in der Nähe</t>
        </is>
      </c>
    </row>
    <row r="144">
      <c r="A144" t="inlineStr">
        <is>
          <t>UKENNW_UU_TP000124</t>
        </is>
      </c>
      <c r="B144" t="inlineStr">
        <is>
          <t>NORTH WARRINGTON   STW</t>
        </is>
      </c>
      <c r="C144" t="n">
        <v>53.37719558</v>
      </c>
      <c r="D144" t="n">
        <v>-2.632213568</v>
      </c>
      <c r="E144" t="inlineStr">
        <is>
          <t>Study</t>
        </is>
      </c>
      <c r="G144" t="inlineStr">
        <is>
          <t>-</t>
        </is>
      </c>
      <c r="H144" t="inlineStr">
        <is>
          <t>-</t>
        </is>
      </c>
      <c r="I144" t="inlineStr">
        <is>
          <t>Heizwasser</t>
        </is>
      </c>
      <c r="J144" t="n">
        <v>1.96</v>
      </c>
      <c r="K144" t="inlineStr">
        <is>
          <t>Geplantes Netz/ Entfernug zu Stadtzentrum</t>
        </is>
      </c>
      <c r="L144" t="inlineStr">
        <is>
          <t>Cheshire &amp; Warrington | Local Energy North West</t>
        </is>
      </c>
    </row>
    <row r="145">
      <c r="A145" t="inlineStr">
        <is>
          <t>UKENTH_TWU_TP000126</t>
        </is>
      </c>
      <c r="B145" t="inlineStr">
        <is>
          <t>Rye Meads STW</t>
        </is>
      </c>
      <c r="C145" t="n">
        <v>51.76925899</v>
      </c>
      <c r="D145" t="n">
        <v>0.016681728</v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interessant</t>
        </is>
      </c>
    </row>
    <row r="146">
      <c r="A146" t="inlineStr">
        <is>
          <t>IT15Q15000000004</t>
        </is>
      </c>
      <c r="B146" t="inlineStr">
        <is>
          <t>Marigliano_Na_Depuratore_Di_Nola</t>
        </is>
      </c>
      <c r="C146" t="n">
        <v>40.9646</v>
      </c>
      <c r="D146" t="n">
        <v>14.4654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Kein bekanntes Fernwärmenetz in der Nähe</t>
        </is>
      </c>
    </row>
    <row r="147">
      <c r="A147" t="inlineStr">
        <is>
          <t>DETP_BYN-K0002</t>
        </is>
      </c>
      <c r="B147" t="inlineStr">
        <is>
          <t>Erlangen</t>
        </is>
      </c>
      <c r="C147" t="n">
        <v>49.6171</v>
      </c>
      <c r="D147" t="n">
        <v>11.0009</v>
      </c>
      <c r="E147" t="inlineStr">
        <is>
          <t>Existing</t>
        </is>
      </c>
      <c r="G147" t="n">
        <v>120</v>
      </c>
      <c r="H147" t="n">
        <v>50</v>
      </c>
      <c r="I147" t="inlineStr">
        <is>
          <t>Heizwasser</t>
        </is>
      </c>
      <c r="J147" t="n">
        <v>0.716</v>
      </c>
      <c r="K147" t="inlineStr">
        <is>
          <t>Entfernung zu Eignungsgebiet für Fernwärme</t>
        </is>
      </c>
      <c r="L147" t="inlineStr">
        <is>
          <t>(Microsoft PowerPoint - ENP-Eignungsgebiete für Wärmenetze.pptx)</t>
        </is>
      </c>
      <c r="M147" t="inlineStr">
        <is>
          <t>Microsoft Word - _ESTW-TAB-FW_515_M_2018-05.docx</t>
        </is>
      </c>
    </row>
    <row r="148">
      <c r="A148" t="inlineStr">
        <is>
          <t>IT09RT0506</t>
        </is>
      </c>
      <c r="B148" t="inlineStr">
        <is>
          <t>Idi_Cuoio_Depur</t>
        </is>
      </c>
      <c r="C148" t="n">
        <v>43.69528</v>
      </c>
      <c r="D148" t="n">
        <v>10.77106</v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Kein bekanntes Fernwärmenetz in der Nähe</t>
        </is>
      </c>
    </row>
    <row r="149">
      <c r="A149" t="inlineStr">
        <is>
          <t>ES1410700001010E</t>
        </is>
      </c>
      <c r="B149" t="inlineStr">
        <is>
          <t>PALOMARES</t>
        </is>
      </c>
      <c r="C149" t="n">
        <v>37.31154</v>
      </c>
      <c r="D149" t="n">
        <v>-6.03491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Kein bekanntes Fernwärmenetz in der Nähe</t>
        </is>
      </c>
    </row>
    <row r="150">
      <c r="A150" t="inlineStr">
        <is>
          <t>DETP_ST153581000001</t>
        </is>
      </c>
      <c r="B150" t="inlineStr">
        <is>
          <t>MD-Gerwisch</t>
        </is>
      </c>
      <c r="C150" t="n">
        <v>52.183</v>
      </c>
      <c r="D150" t="n">
        <v>11.7323</v>
      </c>
      <c r="E150" t="inlineStr">
        <is>
          <t>Existing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n">
        <v>5</v>
      </c>
      <c r="K150" t="inlineStr">
        <is>
          <t>Quer durch Seen und unter Elbe, nicht geeignet</t>
        </is>
      </c>
      <c r="L150" t="inlineStr">
        <is>
          <t>Fernwärme: MHKW Rothensee</t>
        </is>
      </c>
    </row>
    <row r="151">
      <c r="A151" t="inlineStr">
        <is>
          <t>RO3AG_51</t>
        </is>
      </c>
      <c r="B151" t="inlineStr">
        <is>
          <t>ROWP SC APA CANAL 2000 S.A. PITESTI</t>
        </is>
      </c>
      <c r="C151" t="n">
        <v>44.836</v>
      </c>
      <c r="D151" t="n">
        <v>24.923</v>
      </c>
      <c r="E151" t="inlineStr">
        <is>
          <t>Existing</t>
        </is>
      </c>
      <c r="J151" t="n">
        <v>0.25</v>
      </c>
      <c r="K151" t="inlineStr">
        <is>
          <t>Koordinaten Anlage falsch / 44,836000 24,923000</t>
        </is>
      </c>
      <c r="L151" t="inlineStr">
        <is>
          <t>Microsoft Word - 1.2.3.docx</t>
        </is>
      </c>
    </row>
    <row r="152">
      <c r="A152" t="inlineStr">
        <is>
          <t>IT06000000000098</t>
        </is>
      </c>
      <c r="B152" t="inlineStr">
        <is>
          <t>San_Giorgio_Di_Nogaro</t>
        </is>
      </c>
      <c r="C152" t="n">
        <v>45.7602</v>
      </c>
      <c r="D152" t="n">
        <v>13.232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Kein bekanntes Fernwärmenetz in der Nähe</t>
        </is>
      </c>
    </row>
    <row r="153">
      <c r="A153" t="inlineStr">
        <is>
          <t>IT12000000000311</t>
        </is>
      </c>
      <c r="B153" t="inlineStr">
        <is>
          <t>ROMA_NORD</t>
        </is>
      </c>
      <c r="C153" t="n">
        <v>41.965805</v>
      </c>
      <c r="D153" t="n">
        <v>12.496186</v>
      </c>
      <c r="K153" t="inlineStr">
        <is>
          <t>Kein bekanntes Fernwärmenetz in der Nähe</t>
        </is>
      </c>
      <c r="L153" t="inlineStr">
        <is>
          <t>Roma_pubblicazione.pdf</t>
        </is>
      </c>
    </row>
    <row r="154">
      <c r="A154" t="inlineStr">
        <is>
          <t>DETP_ST152021000001</t>
        </is>
      </c>
      <c r="B154" t="inlineStr">
        <is>
          <t>Halle-Nord</t>
        </is>
      </c>
      <c r="C154" t="n">
        <v>51.5245</v>
      </c>
      <c r="D154" t="n">
        <v>11.9207</v>
      </c>
      <c r="E154" t="inlineStr">
        <is>
          <t>Existing</t>
        </is>
      </c>
      <c r="G154" t="n">
        <v>125</v>
      </c>
      <c r="H154" t="n">
        <v>60</v>
      </c>
      <c r="I154" t="inlineStr">
        <is>
          <t>Heizwasser</t>
        </is>
      </c>
      <c r="J154" t="n">
        <v>0.37</v>
      </c>
      <c r="K154" t="inlineStr">
        <is>
          <t>Man beachte dass perspektivisch die Temperaturen in Netzen sinken sollen</t>
        </is>
      </c>
      <c r="L154" t="inlineStr">
        <is>
          <t>Der WärmeAtlas für Halle (Saale) | SWH. EVH</t>
        </is>
      </c>
      <c r="M154" t="inlineStr">
        <is>
          <t>Technische Anschlussbedingungen an das Heizwassernetz der EVH GmbH (ab 01.08.2024).pdf</t>
        </is>
      </c>
    </row>
    <row r="155">
      <c r="A155" t="inlineStr">
        <is>
          <t>HRUWWTP_0001116_001</t>
        </is>
      </c>
      <c r="B155" t="inlineStr">
        <is>
          <t>Rijeka-Delta</t>
        </is>
      </c>
      <c r="C155" t="n">
        <v>45.3216</v>
      </c>
      <c r="D155" t="n">
        <v>14.4432</v>
      </c>
      <c r="E155" t="inlineStr">
        <is>
          <t>Existing</t>
        </is>
      </c>
      <c r="I155" t="inlineStr">
        <is>
          <t>Heizwasser</t>
        </is>
      </c>
      <c r="J155" t="n">
        <v>1.07</v>
      </c>
      <c r="L155" t="inlineStr">
        <is>
          <t>Retrofitting of the District Heating System Based on the Application of Heat Pumps Operating with Natural Refrigerants</t>
        </is>
      </c>
      <c r="M155" t="inlineStr">
        <is>
          <t>GIS Cloud</t>
        </is>
      </c>
    </row>
    <row r="156">
      <c r="A156" t="inlineStr">
        <is>
          <t>FR025435700075</t>
        </is>
      </c>
      <c r="B156" t="inlineStr">
        <is>
          <t>MAXEVILLE</t>
        </is>
      </c>
      <c r="C156" t="n">
        <v>48.7122718546</v>
      </c>
      <c r="D156" t="n">
        <v>6.1737629418</v>
      </c>
      <c r="E156" t="inlineStr">
        <is>
          <t>Existing</t>
        </is>
      </c>
      <c r="G156" t="inlineStr">
        <is>
          <t>-</t>
        </is>
      </c>
      <c r="H156" t="inlineStr">
        <is>
          <t>-</t>
        </is>
      </c>
      <c r="I156" t="inlineStr">
        <is>
          <t>Heizwasser</t>
        </is>
      </c>
      <c r="J156" t="n">
        <v>1.25</v>
      </c>
      <c r="K156" t="inlineStr">
        <is>
          <t>Netz soll ausgebaut werden</t>
        </is>
      </c>
      <c r="L156" t="inlineStr">
        <is>
          <t>Fernwärme — Metropole Nancy</t>
        </is>
      </c>
      <c r="M156" t="inlineStr">
        <is>
          <t>ESTIA - Plateau de Haye - Frankreich Städtische Hitze</t>
        </is>
      </c>
      <c r="N156" t="inlineStr">
        <is>
          <t>Vandoeuvre Stadt | S.E.E.V.</t>
        </is>
      </c>
      <c r="O156" t="inlineStr">
        <is>
          <t>2025_032_NPRU_cequichange.pdf</t>
        </is>
      </c>
      <c r="P156" t="inlineStr">
        <is>
          <t>SEEV Ville - règlement du service.pdf</t>
        </is>
      </c>
    </row>
    <row r="157">
      <c r="A157" t="inlineStr">
        <is>
          <t>IT15Q90000003627</t>
        </is>
      </c>
      <c r="B157" t="inlineStr">
        <is>
          <t>Salerno_Impianto_Salerno</t>
        </is>
      </c>
      <c r="C157" t="n">
        <v>40.6358</v>
      </c>
      <c r="D157" t="n">
        <v>14.8364</v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Kein Netz, aber Gewächshäuser in der nähe</t>
        </is>
      </c>
    </row>
    <row r="158">
      <c r="A158" t="inlineStr">
        <is>
          <t>IT12000000000304</t>
        </is>
      </c>
      <c r="B158" t="inlineStr">
        <is>
          <t>ROMA_EST</t>
        </is>
      </c>
      <c r="C158" t="n">
        <v>41.920912</v>
      </c>
      <c r="D158" t="n">
        <v>12.574226</v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Kein bekanntes Fernwärmenetz in der Nähe</t>
        </is>
      </c>
    </row>
    <row r="159">
      <c r="A159" t="inlineStr">
        <is>
          <t>UKENAN_AW_TP000069</t>
        </is>
      </c>
      <c r="B159" t="inlineStr">
        <is>
          <t>MILTON KEYNES   STW</t>
        </is>
      </c>
      <c r="C159" t="n">
        <v>52.05584118</v>
      </c>
      <c r="D159" t="n">
        <v>-0.711976622</v>
      </c>
      <c r="E159" t="inlineStr">
        <is>
          <t>Planned</t>
        </is>
      </c>
      <c r="G159" t="n">
        <v>90</v>
      </c>
      <c r="H159" t="n">
        <v>65</v>
      </c>
      <c r="I159" t="inlineStr">
        <is>
          <t>Heizwasser</t>
        </is>
      </c>
      <c r="J159" t="inlineStr">
        <is>
          <t>-</t>
        </is>
      </c>
      <c r="K159" t="inlineStr">
        <is>
          <t>Potentielles Netz in Planung/ Nutzung Abwasserwärme wird gecheckt</t>
        </is>
      </c>
      <c r="L159" t="inlineStr">
        <is>
          <t>Heat+Networks+-+Pathway+To+Net+Zero_Annex+A_Programme+Plan.pdf</t>
        </is>
      </c>
      <c r="M159" t="inlineStr">
        <is>
          <t>Heat Network Feasibility_0.pdf</t>
        </is>
      </c>
    </row>
    <row r="160">
      <c r="A160" t="inlineStr">
        <is>
          <t>DETP_BW1175100000062</t>
        </is>
      </c>
      <c r="B160" t="inlineStr">
        <is>
          <t>Göppingen</t>
        </is>
      </c>
      <c r="C160" t="n">
        <v>48.704</v>
      </c>
      <c r="D160" t="n">
        <v>9.603590000000001</v>
      </c>
      <c r="E160" t="inlineStr">
        <is>
          <t>Study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Kein bekanntes Fernwärmenetz in der Nähe</t>
        </is>
      </c>
      <c r="L160" t="inlineStr">
        <is>
          <t>Kommunale Wärmeplanung | Stadt Göppingen</t>
        </is>
      </c>
      <c r="M160" t="inlineStr">
        <is>
          <t>Kommunale Wärmeplanung | Stadt Göppingen</t>
        </is>
      </c>
    </row>
    <row r="161">
      <c r="A161" t="inlineStr">
        <is>
          <t>DETP_NI253014201</t>
        </is>
      </c>
      <c r="B161" t="inlineStr">
        <is>
          <t>2530142095 KA Gümmerwald</t>
        </is>
      </c>
      <c r="C161" t="n">
        <v>52.4153</v>
      </c>
      <c r="D161" t="n">
        <v>9.51037</v>
      </c>
      <c r="E161" t="inlineStr">
        <is>
          <t>Study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n">
        <v>0.63</v>
      </c>
      <c r="K161" t="inlineStr">
        <is>
          <t>Es handelt sich um geplante Netzgebiete</t>
        </is>
      </c>
      <c r="L161" t="inlineStr">
        <is>
          <t>Kommunale Wärmeplanung für Seelze</t>
        </is>
      </c>
    </row>
    <row r="162">
      <c r="A162" t="inlineStr">
        <is>
          <t>SI_KCN_00098</t>
        </is>
      </c>
      <c r="B162" t="inlineStr">
        <is>
          <t>UWWTP_LJUBLJANA (ZALOG)</t>
        </is>
      </c>
      <c r="C162" t="n">
        <v>46.069035</v>
      </c>
      <c r="D162" t="n">
        <v>14.624219</v>
      </c>
      <c r="E162" t="inlineStr">
        <is>
          <t>Existing</t>
        </is>
      </c>
      <c r="I162" t="inlineStr">
        <is>
          <t>Heizwasser</t>
        </is>
      </c>
      <c r="J162" t="n">
        <v>0.5</v>
      </c>
      <c r="L162" t="inlineStr">
        <is>
          <t>untitled</t>
        </is>
      </c>
    </row>
    <row r="163">
      <c r="A163" t="inlineStr">
        <is>
          <t>IT03160128000384</t>
        </is>
      </c>
      <c r="B163" t="inlineStr">
        <is>
          <t>Dp01209001_Lonate_Pozzolo</t>
        </is>
      </c>
      <c r="C163" t="n">
        <v>45.5764215943</v>
      </c>
      <c r="D163" t="n">
        <v>8.761275554499999</v>
      </c>
      <c r="G163" t="inlineStr">
        <is>
          <t>-</t>
        </is>
      </c>
      <c r="H163" t="inlineStr">
        <is>
          <t>-</t>
        </is>
      </c>
      <c r="I163" t="inlineStr">
        <is>
          <t>Heizwasser</t>
        </is>
      </c>
      <c r="K163" t="inlineStr">
        <is>
          <t>Netz vorhanden aber viel zu weit entfernt</t>
        </is>
      </c>
      <c r="L163" t="inlineStr">
        <is>
          <t>A2A-Fernwärme, in Mailand wächst sie wieder | ECO aus den STÄDTEN | Neuigkeiten zur städtischen Umwelt</t>
        </is>
      </c>
      <c r="M163" t="inlineStr">
        <is>
          <t>Company_Profile_ITA_Febbraio_2024_DIGITALE-2.pdf</t>
        </is>
      </c>
      <c r="N163" t="inlineStr">
        <is>
          <t>Il teleriscaldamento per l’area metropolitana di Milano: un grande progetto a rilevanza nazionale</t>
        </is>
      </c>
    </row>
    <row r="164">
      <c r="A164" t="inlineStr">
        <is>
          <t>FR0472181S0016</t>
        </is>
      </c>
      <c r="B164" t="inlineStr">
        <is>
          <t>LMM_LE MANS - LA CHAUVINIÈRE</t>
        </is>
      </c>
      <c r="C164" t="n">
        <v>47.9820918839</v>
      </c>
      <c r="D164" t="n">
        <v>0.1702864985</v>
      </c>
      <c r="E164" t="inlineStr">
        <is>
          <t>Existing</t>
        </is>
      </c>
      <c r="G164" t="n">
        <v>109</v>
      </c>
      <c r="H164" t="n">
        <v>65</v>
      </c>
      <c r="I164" t="inlineStr">
        <is>
          <t>Heizwasser</t>
        </is>
      </c>
      <c r="J164" t="n">
        <v>0.1</v>
      </c>
      <c r="K164" t="inlineStr">
        <is>
          <t>Anschluss an Heizwerk auf Anlage</t>
        </is>
      </c>
      <c r="L164" t="inlineStr">
        <is>
          <t>Carte nationale des réseaux de chaleur et de froid en France</t>
        </is>
      </c>
      <c r="M164" t="inlineStr">
        <is>
          <t>2024-8074 formulaire et annexes</t>
        </is>
      </c>
    </row>
    <row r="165">
      <c r="A165" t="inlineStr">
        <is>
          <t>ES10461100001010E</t>
        </is>
      </c>
      <c r="B165" t="inlineStr">
        <is>
          <t>QUART - BENAGER</t>
        </is>
      </c>
      <c r="C165" t="n">
        <v>39.454621</v>
      </c>
      <c r="D165" t="n">
        <v>-0.414522</v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Kein bekanntes Fernwärmenetz in der Nähe</t>
        </is>
      </c>
    </row>
    <row r="166">
      <c r="A166" t="inlineStr">
        <is>
          <t>DETP_BW3165100000008</t>
        </is>
      </c>
      <c r="B166" t="inlineStr">
        <is>
          <t>SKA AZV BREISGAUER BUCHT - KA FORCHHEIM</t>
        </is>
      </c>
      <c r="C166" t="n">
        <v>48.1895</v>
      </c>
      <c r="D166" t="n">
        <v>7.70885</v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Kein bekanntes Fernwärmenetz in der Nähe</t>
        </is>
      </c>
      <c r="L166" t="inlineStr">
        <is>
          <t>Nahwärme: Forchheim</t>
        </is>
      </c>
    </row>
    <row r="167">
      <c r="A167" t="inlineStr">
        <is>
          <t>FR060969199001</t>
        </is>
      </c>
      <c r="B167" t="inlineStr">
        <is>
          <t>LYON - SAINT FONS</t>
        </is>
      </c>
      <c r="C167" t="n">
        <v>45.6911764843</v>
      </c>
      <c r="D167" t="n">
        <v>4.8486854898</v>
      </c>
      <c r="E167" t="inlineStr">
        <is>
          <t>Existing</t>
        </is>
      </c>
      <c r="I167" t="inlineStr">
        <is>
          <t>Heizwasser</t>
        </is>
      </c>
      <c r="J167" t="n">
        <v>1</v>
      </c>
      <c r="L167" t="inlineStr">
        <is>
          <t>Carte nationale des réseaux de chaleur et de froid en France</t>
        </is>
      </c>
      <c r="M167" t="inlineStr">
        <is>
          <t>Intérêt du classement du réseau de chaleur de Vénissieux au regard de l’exemple de Fontaine</t>
        </is>
      </c>
    </row>
    <row r="168">
      <c r="A168" t="inlineStr">
        <is>
          <t>ES8130050002010E</t>
        </is>
      </c>
      <c r="B168" t="inlineStr">
        <is>
          <t>ALCAZAR DE SAN JUAN-CAMPO DE CRIPTANA</t>
        </is>
      </c>
      <c r="C168" t="n">
        <v>39.39194</v>
      </c>
      <c r="D168" t="n">
        <v>-3.23147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Kein bekanntes Fernwärmenetz in der Nähe</t>
        </is>
      </c>
    </row>
    <row r="169">
      <c r="A169" t="inlineStr">
        <is>
          <t>ES3330441901011E</t>
        </is>
      </c>
      <c r="B169" t="inlineStr">
        <is>
          <t>VILLAPEREZ</t>
        </is>
      </c>
      <c r="C169" t="n">
        <v>43.405</v>
      </c>
      <c r="D169" t="n">
        <v>-5.826</v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Kein bekanntes Fernwärmenetz in der Nähe</t>
        </is>
      </c>
    </row>
    <row r="170">
      <c r="A170" t="inlineStr">
        <is>
          <t>ES17260890002010E</t>
        </is>
      </c>
      <c r="B170" t="inlineStr">
        <is>
          <t>LOGROÑO</t>
        </is>
      </c>
      <c r="C170" t="n">
        <v>42.46547</v>
      </c>
      <c r="D170" t="n">
        <v>-2.41652</v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Kein bekanntes Fernwärmenetz in der Nähe</t>
        </is>
      </c>
    </row>
    <row r="171">
      <c r="A171" t="inlineStr">
        <is>
          <t>IETP_D0033</t>
        </is>
      </c>
      <c r="B171" t="inlineStr">
        <is>
          <t>Cork city</t>
        </is>
      </c>
      <c r="C171" t="n">
        <v>51.89653</v>
      </c>
      <c r="D171" t="n">
        <v>-8.466889999999999</v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Kein bekanntes Fernwärmenetz in der Nähe, Umgeben von Industrieparks,Falsche Koordinaten 51,888792  -8,336269</t>
        </is>
      </c>
    </row>
    <row r="172">
      <c r="A172" t="inlineStr">
        <is>
          <t>FR060921231001</t>
        </is>
      </c>
      <c r="B172" t="inlineStr">
        <is>
          <t>DIJON</t>
        </is>
      </c>
      <c r="C172" t="n">
        <v>47.2912157959</v>
      </c>
      <c r="D172" t="n">
        <v>5.0785087465</v>
      </c>
      <c r="E172" t="inlineStr">
        <is>
          <t>Existing</t>
        </is>
      </c>
      <c r="G172" t="n">
        <v>105</v>
      </c>
      <c r="H172" t="n">
        <v>90</v>
      </c>
      <c r="I172" t="inlineStr">
        <is>
          <t>Heizwasser</t>
        </is>
      </c>
      <c r="J172" t="n">
        <v>1.3</v>
      </c>
      <c r="L172" t="inlineStr">
        <is>
          <t>Carte nationale des réseaux de chaleur et de froid en France</t>
        </is>
      </c>
      <c r="M172" t="inlineStr">
        <is>
          <t>Wie funktioniert es? | Dijon Energien</t>
        </is>
      </c>
    </row>
    <row r="173">
      <c r="A173" t="inlineStr">
        <is>
          <t>UKENMI_ST_TP000068</t>
        </is>
      </c>
      <c r="B173" t="inlineStr">
        <is>
          <t>COVENTRY  STW</t>
        </is>
      </c>
      <c r="C173" t="n">
        <v>52.36034278</v>
      </c>
      <c r="D173" t="n">
        <v>-1.508043872</v>
      </c>
      <c r="E173" t="inlineStr">
        <is>
          <t>Study</t>
        </is>
      </c>
      <c r="G173" t="inlineStr">
        <is>
          <t>-</t>
        </is>
      </c>
      <c r="H173" t="inlineStr">
        <is>
          <t>-</t>
        </is>
      </c>
      <c r="I173" t="inlineStr">
        <is>
          <t>Heizwasser</t>
        </is>
      </c>
      <c r="J173" t="n">
        <v>2.34</v>
      </c>
      <c r="K173" t="inlineStr">
        <is>
          <t>potentielles Gebiet</t>
        </is>
      </c>
      <c r="L173" t="inlineStr">
        <is>
          <t>Heat network zoning map: Coventry</t>
        </is>
      </c>
    </row>
    <row r="174">
      <c r="A174" t="inlineStr">
        <is>
          <t>UKENAN_AW_TP000107</t>
        </is>
      </c>
      <c r="B174" t="inlineStr">
        <is>
          <t>NORTHAMPTON   STW</t>
        </is>
      </c>
      <c r="C174" t="n">
        <v>52.25007229</v>
      </c>
      <c r="D174" t="n">
        <v>-0.8058975900000001</v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Kein bekanntes Fernwärmenetz in der Nähe</t>
        </is>
      </c>
    </row>
    <row r="175">
      <c r="A175" t="inlineStr">
        <is>
          <t>DETP_NW608</t>
        </is>
      </c>
      <c r="B175" t="inlineStr">
        <is>
          <t>Wuppertal-Buchenhofen</t>
        </is>
      </c>
      <c r="C175" t="n">
        <v>51.2235</v>
      </c>
      <c r="D175" t="n">
        <v>7.10641</v>
      </c>
      <c r="E175" t="inlineStr">
        <is>
          <t>Existing</t>
        </is>
      </c>
      <c r="G175" t="n">
        <v>130</v>
      </c>
      <c r="H175" t="n">
        <v>70</v>
      </c>
      <c r="I175" t="inlineStr">
        <is>
          <t>Heizwasser</t>
        </is>
      </c>
      <c r="J175" t="n">
        <v>2.62</v>
      </c>
      <c r="L175" t="inlineStr">
        <is>
          <t>Fernwärme Wuppertal: Wuppertaler Stadtwerke</t>
        </is>
      </c>
      <c r="M175" t="inlineStr">
        <is>
          <t>Technische Anschlussbedingungen Heizwasser</t>
        </is>
      </c>
    </row>
    <row r="176">
      <c r="A176" t="inlineStr">
        <is>
          <t>PT5000519</t>
        </is>
      </c>
      <c r="B176" t="inlineStr">
        <is>
          <t>Matosinhos</t>
        </is>
      </c>
      <c r="C176" t="n">
        <v>41.2133</v>
      </c>
      <c r="D176" t="n">
        <v>-8.714281</v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Kein bekanntes Fernwärmenetz in der Nähe</t>
        </is>
      </c>
    </row>
    <row r="177">
      <c r="A177" t="inlineStr">
        <is>
          <t>PT20501079</t>
        </is>
      </c>
      <c r="B177" t="inlineStr">
        <is>
          <t>Rib. de Moinhos</t>
        </is>
      </c>
      <c r="C177" t="n">
        <v>37.9843582141</v>
      </c>
      <c r="D177" t="n">
        <v>-8.8498108147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Kein bekanntes Fernwärmenetz in der Nähe</t>
        </is>
      </c>
    </row>
    <row r="178">
      <c r="A178" t="inlineStr">
        <is>
          <t>ES13280790001013E</t>
        </is>
      </c>
      <c r="B178" t="inlineStr">
        <is>
          <t>BUTARQUE</t>
        </is>
      </c>
      <c r="C178" t="n">
        <v>40.335065</v>
      </c>
      <c r="D178" t="n">
        <v>-3.662516</v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Kein bekanntes Fernwärmenetz in der Nähe, Synergie</t>
        </is>
      </c>
    </row>
    <row r="179">
      <c r="A179" t="inlineStr">
        <is>
          <t>ES1140210009010E</t>
        </is>
      </c>
      <c r="B179" t="inlineStr">
        <is>
          <t>LA GOLONDRINA</t>
        </is>
      </c>
      <c r="C179" t="n">
        <v>37.84706</v>
      </c>
      <c r="D179" t="n">
        <v>-4.86217</v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Kein bekanntes Fernwärmenetz in der Nähe</t>
        </is>
      </c>
    </row>
    <row r="180">
      <c r="A180" t="inlineStr">
        <is>
          <t>FR0533039V005</t>
        </is>
      </c>
      <c r="B180" t="inlineStr">
        <is>
          <t>BEGLES (CLOS DE HILDE)</t>
        </is>
      </c>
      <c r="C180" t="n">
        <v>44.8008736897</v>
      </c>
      <c r="D180" t="n">
        <v>-0.5325374705</v>
      </c>
      <c r="E180" t="inlineStr">
        <is>
          <t>Existing</t>
        </is>
      </c>
      <c r="I180" t="inlineStr">
        <is>
          <t>Heizwasser</t>
        </is>
      </c>
      <c r="J180" t="n">
        <v>0.1</v>
      </c>
      <c r="K180" t="inlineStr">
        <is>
          <t>Netz direkt neben Anlage</t>
        </is>
      </c>
      <c r="L180" t="inlineStr">
        <is>
          <t>Carte nationale des réseaux de chaleur et de froid en France</t>
        </is>
      </c>
    </row>
    <row r="181">
      <c r="A181" t="inlineStr">
        <is>
          <t>PT18075792</t>
        </is>
      </c>
      <c r="B181" t="inlineStr">
        <is>
          <t>Agra I e II</t>
        </is>
      </c>
      <c r="C181" t="n">
        <v>41.35147</v>
      </c>
      <c r="D181" t="n">
        <v>-8.60272</v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Kein bekanntes Fernwärmenetz in der Nähe</t>
        </is>
      </c>
    </row>
    <row r="182">
      <c r="A182" t="inlineStr">
        <is>
          <t>DETP_BE02</t>
        </is>
      </c>
      <c r="B182" t="inlineStr">
        <is>
          <t>Schönerlinde</t>
        </is>
      </c>
      <c r="C182" t="n">
        <v>52.665</v>
      </c>
      <c r="D182" t="n">
        <v>13.4166</v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Kein bekanntes Fernwärmenetz in der Nähe</t>
        </is>
      </c>
      <c r="L182" t="inlineStr">
        <is>
          <t>Wie aus stinkendem Abwasser grüne Energie gewonnen werden könnte | rbb24</t>
        </is>
      </c>
      <c r="M182" t="inlineStr">
        <is>
          <t>08.01.1 Versorgungsbereiche Fernwärme - Berlin.de</t>
        </is>
      </c>
    </row>
    <row r="183">
      <c r="A183" t="inlineStr">
        <is>
          <t>UKENMI_ST_TP000156</t>
        </is>
      </c>
      <c r="B183" t="inlineStr">
        <is>
          <t>BIRMINGHAM &amp; BLACK COUNTRY NO. 1 (MINWORTH) STW</t>
        </is>
      </c>
      <c r="C183" t="n">
        <v>52.52882775</v>
      </c>
      <c r="D183" t="n">
        <v>-1.758227208</v>
      </c>
      <c r="E183" t="inlineStr">
        <is>
          <t>Study</t>
        </is>
      </c>
      <c r="G183" t="n">
        <v>100</v>
      </c>
      <c r="H183" t="n">
        <v>60</v>
      </c>
      <c r="I183" t="inlineStr">
        <is>
          <t>Heizwasser</t>
        </is>
      </c>
      <c r="J183" t="inlineStr">
        <is>
          <t>-</t>
        </is>
      </c>
      <c r="K183" t="inlineStr">
        <is>
          <t>direkt neben potentiellem Gebiet/ Temp. Aus anderem Birminham Netz</t>
        </is>
      </c>
      <c r="L183" t="inlineStr">
        <is>
          <t>Heat Network Zone map: Birmingham</t>
        </is>
      </c>
      <c r="M183" t="inlineStr">
        <is>
          <t>Birm 21-1</t>
        </is>
      </c>
    </row>
    <row r="184">
      <c r="A184" t="inlineStr">
        <is>
          <t>EL300026013</t>
        </is>
      </c>
      <c r="B184" t="inlineStr">
        <is>
          <t>METAMORPHOSI</t>
        </is>
      </c>
      <c r="C184" t="n">
        <v>38.07787392</v>
      </c>
      <c r="D184" t="n">
        <v>23.77380744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Kein bekanntes Fernwärmenetz in der Nähe</t>
        </is>
      </c>
    </row>
    <row r="185">
      <c r="A185" t="inlineStr">
        <is>
          <t>UKENNW_UU_TP000018</t>
        </is>
      </c>
      <c r="B185" t="inlineStr">
        <is>
          <t>BLACKBURN STW</t>
        </is>
      </c>
      <c r="C185" t="n">
        <v>53.7595452</v>
      </c>
      <c r="D185" t="n">
        <v>-2.601086053</v>
      </c>
      <c r="E185" t="inlineStr">
        <is>
          <t>Study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Netz zuweit entfernt</t>
        </is>
      </c>
    </row>
    <row r="186">
      <c r="A186" t="inlineStr">
        <is>
          <t>FRCH0000101160</t>
        </is>
      </c>
      <c r="B186" t="inlineStr">
        <is>
          <t>FERNEY-VOLTAIRE - AIRE 2</t>
        </is>
      </c>
      <c r="C186" t="n">
        <v>46.195725845</v>
      </c>
      <c r="D186" t="n">
        <v>6.0895739291</v>
      </c>
      <c r="E186" t="inlineStr">
        <is>
          <t>Existing</t>
        </is>
      </c>
      <c r="F186" t="inlineStr">
        <is>
          <t>Planned</t>
        </is>
      </c>
      <c r="I186" t="inlineStr">
        <is>
          <t>Heizwasser</t>
        </is>
      </c>
      <c r="J186" t="n">
        <v>0</v>
      </c>
      <c r="K186" t="inlineStr">
        <is>
          <t>Direkt angebunden</t>
        </is>
      </c>
      <c r="L186" t="inlineStr">
        <is>
          <t>Start eines Leuchtturmprojekts auf der Kläranlage Aïre | GIS</t>
        </is>
      </c>
      <c r="M186" t="inlineStr">
        <is>
          <t>673768c6d5ea1trp-24-25-5.pdf</t>
        </is>
      </c>
      <c r="N186" t="inlineStr">
        <is>
          <t>Aqua &amp; Gas | Plateforme pour l’eau, le gaz et la chaleur | 20250108 AG01 Réduction des températures des CAD</t>
        </is>
      </c>
    </row>
    <row r="187">
      <c r="A187" t="inlineStr">
        <is>
          <t>ES6390060001010E</t>
        </is>
      </c>
      <c r="B187" t="inlineStr">
        <is>
          <t>SAN PANTALEON</t>
        </is>
      </c>
      <c r="C187" t="n">
        <v>43.44221</v>
      </c>
      <c r="D187" t="n">
        <v>-3.45325</v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Kein bekanntes Fernwärmenetz in der Nähe/ Falsche Koordinaten 43,461070 -3,5239584</t>
        </is>
      </c>
    </row>
    <row r="188">
      <c r="A188" t="inlineStr">
        <is>
          <t>ES10030650002001E</t>
        </is>
      </c>
      <c r="B188" t="inlineStr">
        <is>
          <t>ELX - ALGOROS</t>
        </is>
      </c>
      <c r="C188" t="n">
        <v>38.243491</v>
      </c>
      <c r="D188" t="n">
        <v>-0.704526</v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Kein bekanntes Fernwärmenetz in der Nähe</t>
        </is>
      </c>
    </row>
    <row r="189">
      <c r="A189" t="inlineStr">
        <is>
          <t>IT15Q15000000008</t>
        </is>
      </c>
      <c r="B189" t="inlineStr">
        <is>
          <t>Pozzuoli_Na_Impianto_Napoli_Ovest_Cuma</t>
        </is>
      </c>
      <c r="C189" t="n">
        <v>40.8739</v>
      </c>
      <c r="D189" t="n">
        <v>14.0692</v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Kein bekanntes Fernwärmenetz in der Nähe</t>
        </is>
      </c>
    </row>
    <row r="190">
      <c r="A190" t="inlineStr">
        <is>
          <t>ES13280790001011E</t>
        </is>
      </c>
      <c r="B190" t="inlineStr">
        <is>
          <t>SUR</t>
        </is>
      </c>
      <c r="C190" t="n">
        <v>40.311904</v>
      </c>
      <c r="D190" t="n">
        <v>-3.616639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Kein bekanntes Fernwärmenetz in der Nähe, Synergie</t>
        </is>
      </c>
    </row>
    <row r="191">
      <c r="A191" t="inlineStr">
        <is>
          <t>ES13280790001019E</t>
        </is>
      </c>
      <c r="B191" t="inlineStr">
        <is>
          <t>ARROYO CULEBRO CUENCA BAJA</t>
        </is>
      </c>
      <c r="C191" t="n">
        <v>40.300845</v>
      </c>
      <c r="D191" t="n">
        <v>-3.602147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Kein bekanntes Fernwärmenetz in der Nähe, Synergie</t>
        </is>
      </c>
    </row>
    <row r="192">
      <c r="A192" t="inlineStr">
        <is>
          <t>ES13280790001012E</t>
        </is>
      </c>
      <c r="B192" t="inlineStr">
        <is>
          <t>LA CHINA</t>
        </is>
      </c>
      <c r="C192" t="n">
        <v>40.311904</v>
      </c>
      <c r="D192" t="n">
        <v>-3.616639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Kein bekanntes Fernwärmenetz in der Nähe</t>
        </is>
      </c>
    </row>
    <row r="193">
      <c r="A193" t="inlineStr">
        <is>
          <t>ES14300161912010E</t>
        </is>
      </c>
      <c r="B193" t="inlineStr">
        <is>
          <t>MAR MENOR SUR</t>
        </is>
      </c>
      <c r="C193" t="n">
        <v>37.62447</v>
      </c>
      <c r="D193" t="n">
        <v>-0.7260799999999999</v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Kein bekanntes Fernwärmenetz in der Nähe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cols>
    <col width="29" customWidth="1" min="1" max="1"/>
    <col width="67" customWidth="1" min="2" max="2"/>
    <col width="22" customWidth="1" min="3" max="3"/>
    <col width="31" customWidth="1" min="4" max="4"/>
  </cols>
  <sheetData>
    <row r="1">
      <c r="A1" s="1" t="inlineStr">
        <is>
          <t>UWWTD Code</t>
        </is>
      </c>
      <c r="B1" s="1" t="inlineStr">
        <is>
          <t>Name</t>
        </is>
      </c>
      <c r="C1" s="1" t="inlineStr">
        <is>
          <t>Nearest Distance [m]</t>
        </is>
      </c>
      <c r="D1" s="1" t="inlineStr">
        <is>
          <t>Total Sum Available Area [m²]</t>
        </is>
      </c>
    </row>
    <row r="2">
      <c r="A2" t="inlineStr">
        <is>
          <t>DETP_HH4/4 AI 3</t>
        </is>
      </c>
      <c r="B2" t="inlineStr">
        <is>
          <t>Klärwerksverbund Köhlbrandhöft Dradenau</t>
        </is>
      </c>
      <c r="C2" t="n">
        <v>0</v>
      </c>
      <c r="D2" t="n">
        <v>20663.39</v>
      </c>
    </row>
    <row r="3">
      <c r="A3" t="inlineStr">
        <is>
          <t>NL25017</t>
        </is>
      </c>
      <c r="B3" t="inlineStr">
        <is>
          <t>UWWTP NIEUWVEER</t>
        </is>
      </c>
      <c r="C3" t="n">
        <v>0</v>
      </c>
      <c r="D3" t="n">
        <v>59205.15</v>
      </c>
    </row>
    <row r="4">
      <c r="A4" t="inlineStr">
        <is>
          <t>ATTP_4-41003001</t>
        </is>
      </c>
      <c r="B4" t="inlineStr">
        <is>
          <t>Asten - Regionalkläranlage</t>
        </is>
      </c>
      <c r="C4" t="n">
        <v>0</v>
      </c>
      <c r="D4" t="n">
        <v>127954.09</v>
      </c>
    </row>
    <row r="5">
      <c r="A5" t="inlineStr">
        <is>
          <t>ATTP_9-HKA-Simmering</t>
        </is>
      </c>
      <c r="B5" t="inlineStr">
        <is>
          <t>Hauptkläranlage Wien</t>
        </is>
      </c>
      <c r="C5" t="n">
        <v>0</v>
      </c>
      <c r="D5" t="n">
        <v>34109.79</v>
      </c>
    </row>
    <row r="6">
      <c r="A6" t="inlineStr">
        <is>
          <t>PLMP0011</t>
        </is>
      </c>
      <c r="B6" t="inlineStr">
        <is>
          <t>Kraków-Płaszów</t>
        </is>
      </c>
      <c r="C6" t="n">
        <v>0</v>
      </c>
      <c r="D6" t="n">
        <v>272684.79</v>
      </c>
    </row>
    <row r="7">
      <c r="A7" t="inlineStr">
        <is>
          <t>DETP_NW1805</t>
        </is>
      </c>
      <c r="B7" t="inlineStr">
        <is>
          <t>Köln Stammheim</t>
        </is>
      </c>
      <c r="C7" t="n">
        <v>0</v>
      </c>
      <c r="D7" t="n">
        <v>92000.52</v>
      </c>
    </row>
    <row r="8">
      <c r="A8" t="inlineStr">
        <is>
          <t>RO8IF_53</t>
        </is>
      </c>
      <c r="B8" t="inlineStr">
        <is>
          <t>ROWP SC APA NOVA SA BUCURESTI</t>
        </is>
      </c>
      <c r="C8" t="n">
        <v>0</v>
      </c>
      <c r="D8" t="n">
        <v>301558.46</v>
      </c>
    </row>
    <row r="9">
      <c r="A9" t="inlineStr">
        <is>
          <t>PLSL0090</t>
        </is>
      </c>
      <c r="B9" t="inlineStr">
        <is>
          <t>Centralna Oczyszczalnia Ścieków w Gliwicach</t>
        </is>
      </c>
      <c r="C9" t="n">
        <v>0</v>
      </c>
      <c r="D9" t="n">
        <v>219015.97</v>
      </c>
    </row>
    <row r="10">
      <c r="A10" t="inlineStr">
        <is>
          <t>ES2502970002010E</t>
        </is>
      </c>
      <c r="B10" t="inlineStr">
        <is>
          <t>ZARAGOZA (LA CARTUJA)</t>
        </is>
      </c>
      <c r="C10" t="n">
        <v>0</v>
      </c>
      <c r="D10" t="n">
        <v>206299.63</v>
      </c>
    </row>
    <row r="11">
      <c r="A11" t="inlineStr">
        <is>
          <t>PLMZ0011</t>
        </is>
      </c>
      <c r="B11" t="inlineStr">
        <is>
          <t>Zakład Oczyszczalni Ścieków "Czajka"</t>
        </is>
      </c>
      <c r="C11" t="n">
        <v>0</v>
      </c>
      <c r="D11" t="n">
        <v>140334.69</v>
      </c>
    </row>
    <row r="12">
      <c r="A12" t="inlineStr">
        <is>
          <t>DETP_NW2102</t>
        </is>
      </c>
      <c r="B12" t="inlineStr">
        <is>
          <t>Krefeld</t>
        </is>
      </c>
      <c r="C12" t="n">
        <v>0</v>
      </c>
      <c r="D12" t="n">
        <v>259757.49</v>
      </c>
    </row>
    <row r="13">
      <c r="A13" t="inlineStr">
        <is>
          <t>NL32002</t>
        </is>
      </c>
      <c r="B13" t="inlineStr">
        <is>
          <t>UWWTP TILBURG-NOORD</t>
        </is>
      </c>
      <c r="C13" t="n">
        <v>0</v>
      </c>
      <c r="D13" t="n">
        <v>125572.73</v>
      </c>
    </row>
    <row r="14">
      <c r="A14" t="inlineStr">
        <is>
          <t>DETP_BW2225100000001</t>
        </is>
      </c>
      <c r="B14" t="inlineStr">
        <is>
          <t>Kläranlage Mannheim</t>
        </is>
      </c>
      <c r="C14" t="n">
        <v>0</v>
      </c>
      <c r="D14" t="n">
        <v>212400.91</v>
      </c>
    </row>
    <row r="15">
      <c r="A15" t="inlineStr">
        <is>
          <t>ES9081690001010E</t>
        </is>
      </c>
      <c r="B15" t="inlineStr">
        <is>
          <t>PRAT DE LLOBREGAT (EL)</t>
        </is>
      </c>
      <c r="C15" t="n">
        <v>0</v>
      </c>
      <c r="D15" t="n">
        <v>14761.56</v>
      </c>
    </row>
    <row r="16">
      <c r="A16" t="inlineStr">
        <is>
          <t>ES16010590063010E</t>
        </is>
      </c>
      <c r="B16" t="inlineStr">
        <is>
          <t>Crispijana</t>
        </is>
      </c>
      <c r="C16" t="n">
        <v>0</v>
      </c>
      <c r="D16" t="n">
        <v>134137.91</v>
      </c>
    </row>
    <row r="17">
      <c r="A17" t="inlineStr">
        <is>
          <t>DETP_BE03</t>
        </is>
      </c>
      <c r="B17" t="inlineStr">
        <is>
          <t>Waßmannsdorf</t>
        </is>
      </c>
      <c r="C17" t="n">
        <v>0</v>
      </c>
      <c r="D17" t="n">
        <v>297546.86</v>
      </c>
    </row>
    <row r="18">
      <c r="A18" t="inlineStr">
        <is>
          <t>DETP_MV03.03.1 wbu1437</t>
        </is>
      </c>
      <c r="B18" t="inlineStr">
        <is>
          <t>Rostock - Bramow</t>
        </is>
      </c>
      <c r="C18" t="n">
        <v>0</v>
      </c>
      <c r="D18" t="n">
        <v>40541.72</v>
      </c>
    </row>
    <row r="19">
      <c r="A19" t="inlineStr">
        <is>
          <t>CZ8119-713767-00845451-4/1U</t>
        </is>
      </c>
      <c r="B19" t="inlineStr">
        <is>
          <t>UCOV Ostrava - Privoz</t>
        </is>
      </c>
      <c r="C19" t="n">
        <v>0</v>
      </c>
      <c r="D19" t="n">
        <v>136528.97</v>
      </c>
    </row>
    <row r="20">
      <c r="A20" t="inlineStr">
        <is>
          <t>BGWT56784_00_01</t>
        </is>
      </c>
      <c r="B20" t="inlineStr">
        <is>
          <t>UWWTP Plovdiv</t>
        </is>
      </c>
      <c r="C20" t="n">
        <v>0</v>
      </c>
      <c r="D20" t="n">
        <v>410914.28</v>
      </c>
    </row>
    <row r="21">
      <c r="A21" t="inlineStr">
        <is>
          <t>DETP_HB18-1</t>
        </is>
      </c>
      <c r="B21" t="inlineStr">
        <is>
          <t>Kläranlage Seehausen</t>
        </is>
      </c>
      <c r="C21" t="n">
        <v>0</v>
      </c>
      <c r="D21" t="n">
        <v>30964.07</v>
      </c>
    </row>
    <row r="22">
      <c r="A22" t="inlineStr">
        <is>
          <t>DETP_ST151541000001</t>
        </is>
      </c>
      <c r="B22" t="inlineStr">
        <is>
          <t>Bitterfeld-Wolfen</t>
        </is>
      </c>
      <c r="C22" t="n">
        <v>0</v>
      </c>
      <c r="D22" t="n">
        <v>124776.3</v>
      </c>
    </row>
    <row r="23">
      <c r="A23" t="inlineStr">
        <is>
          <t>DETP_NW904</t>
        </is>
      </c>
      <c r="B23" t="inlineStr">
        <is>
          <t>Duisburg-Kaßlerfeld</t>
        </is>
      </c>
      <c r="C23" t="n">
        <v>0</v>
      </c>
      <c r="D23" t="n">
        <v>7590.13</v>
      </c>
    </row>
    <row r="24">
      <c r="A24" t="inlineStr">
        <is>
          <t>PLWL0011</t>
        </is>
      </c>
      <c r="B24" t="inlineStr">
        <is>
          <t>Centralna Oczyszczalnia Ścieków w Koziegłowach</t>
        </is>
      </c>
      <c r="C24" t="n">
        <v>0</v>
      </c>
      <c r="D24" t="n">
        <v>179603.36</v>
      </c>
    </row>
    <row r="25">
      <c r="A25" t="inlineStr">
        <is>
          <t>RO2GL_51</t>
        </is>
      </c>
      <c r="B25" t="inlineStr">
        <is>
          <t>ROWP GALATI</t>
        </is>
      </c>
      <c r="C25" t="n">
        <v>0</v>
      </c>
      <c r="D25" t="n">
        <v>68508.25</v>
      </c>
    </row>
    <row r="26">
      <c r="A26" t="inlineStr">
        <is>
          <t>DETP_BW2125100000014</t>
        </is>
      </c>
      <c r="B26" t="inlineStr">
        <is>
          <t>SKA Karlsruhe Neureut</t>
        </is>
      </c>
      <c r="C26" t="n">
        <v>0</v>
      </c>
      <c r="D26" t="n">
        <v>203700.39</v>
      </c>
    </row>
    <row r="27">
      <c r="A27" t="inlineStr">
        <is>
          <t>ATTP_6-M3631054R0</t>
        </is>
      </c>
      <c r="B27" t="inlineStr">
        <is>
          <t>Gratkorn</t>
        </is>
      </c>
      <c r="C27" t="n">
        <v>0</v>
      </c>
      <c r="D27" t="n">
        <v>10431.6</v>
      </c>
    </row>
    <row r="28">
      <c r="A28" t="inlineStr">
        <is>
          <t>IT05000000000043</t>
        </is>
      </c>
      <c r="B28" t="inlineStr">
        <is>
          <t>Arzignano_Via_Altura</t>
        </is>
      </c>
      <c r="C28" t="n">
        <v>0</v>
      </c>
      <c r="D28" t="n">
        <v>113376.67</v>
      </c>
    </row>
    <row r="29">
      <c r="A29" t="inlineStr">
        <is>
          <t>DETP_NW906</t>
        </is>
      </c>
      <c r="B29" t="inlineStr">
        <is>
          <t>Duisburg-Alte Emscher</t>
        </is>
      </c>
      <c r="C29" t="n">
        <v>0</v>
      </c>
      <c r="D29" t="n">
        <v>74343.95</v>
      </c>
    </row>
    <row r="30">
      <c r="A30" t="inlineStr">
        <is>
          <t>DETP_HE064140000101</t>
        </is>
      </c>
      <c r="B30" t="inlineStr">
        <is>
          <t>Wiesbaden / Mitte</t>
        </is>
      </c>
      <c r="C30" t="n">
        <v>0</v>
      </c>
      <c r="D30" t="n">
        <v>110152.88</v>
      </c>
    </row>
    <row r="31">
      <c r="A31" t="inlineStr">
        <is>
          <t>DETP_NW905</t>
        </is>
      </c>
      <c r="B31" t="inlineStr">
        <is>
          <t>Emscherkläranlage</t>
        </is>
      </c>
      <c r="C31" t="n">
        <v>0</v>
      </c>
      <c r="D31" t="n">
        <v>100119.66</v>
      </c>
    </row>
    <row r="32">
      <c r="A32" t="inlineStr">
        <is>
          <t>ATTP_6-M3489301R0</t>
        </is>
      </c>
      <c r="B32" t="inlineStr">
        <is>
          <t>Graz-Gössendorf</t>
        </is>
      </c>
      <c r="C32" t="n">
        <v>0</v>
      </c>
      <c r="D32" t="n">
        <v>57405.72</v>
      </c>
    </row>
    <row r="33">
      <c r="A33" t="inlineStr">
        <is>
          <t>DETP_BYM-K0001</t>
        </is>
      </c>
      <c r="B33" t="inlineStr">
        <is>
          <t>München II - Gut Marienhof</t>
        </is>
      </c>
      <c r="C33" t="n">
        <v>0</v>
      </c>
      <c r="D33" t="n">
        <v>131952.95</v>
      </c>
    </row>
    <row r="34">
      <c r="A34" t="inlineStr">
        <is>
          <t>IT03160128000457</t>
        </is>
      </c>
      <c r="B34" t="inlineStr">
        <is>
          <t>Dp01514602_Milano_S_Rocco</t>
        </is>
      </c>
      <c r="C34" t="n">
        <v>0</v>
      </c>
      <c r="D34" t="n">
        <v>121639.11</v>
      </c>
    </row>
    <row r="35">
      <c r="A35" t="inlineStr">
        <is>
          <t>ES16200690005010E</t>
        </is>
      </c>
      <c r="B35" t="inlineStr">
        <is>
          <t>Loiola</t>
        </is>
      </c>
      <c r="C35" t="n">
        <v>0</v>
      </c>
      <c r="D35" t="n">
        <v>16148.07</v>
      </c>
    </row>
    <row r="36">
      <c r="A36" t="inlineStr">
        <is>
          <t>PLMP0016</t>
        </is>
      </c>
      <c r="B36" t="inlineStr">
        <is>
          <t>Kraków-Kujawy</t>
        </is>
      </c>
      <c r="C36" t="n">
        <v>0</v>
      </c>
      <c r="D36" t="n">
        <v>89919.25</v>
      </c>
    </row>
    <row r="37">
      <c r="A37" t="inlineStr">
        <is>
          <t>DETP_NW1502</t>
        </is>
      </c>
      <c r="B37" t="inlineStr">
        <is>
          <t>Bottrop</t>
        </is>
      </c>
      <c r="C37" t="n">
        <v>0</v>
      </c>
      <c r="D37" t="n">
        <v>142349.7</v>
      </c>
    </row>
    <row r="38">
      <c r="A38" t="inlineStr">
        <is>
          <t>DETP_RP102380095</t>
        </is>
      </c>
      <c r="B38" t="inlineStr">
        <is>
          <t>Mainz</t>
        </is>
      </c>
      <c r="C38" t="n">
        <v>0</v>
      </c>
      <c r="D38" t="n">
        <v>137284.15</v>
      </c>
    </row>
    <row r="39">
      <c r="A39" t="inlineStr">
        <is>
          <t>DETP_BYDON-K0001</t>
        </is>
      </c>
      <c r="B39" t="inlineStr">
        <is>
          <t>Augsburg</t>
        </is>
      </c>
      <c r="C39" t="n">
        <v>0</v>
      </c>
      <c r="D39" t="n">
        <v>141864.36</v>
      </c>
    </row>
    <row r="40">
      <c r="A40" t="inlineStr">
        <is>
          <t>FR037635102000</t>
        </is>
      </c>
      <c r="B40" t="inlineStr">
        <is>
          <t>LE HAVRE</t>
        </is>
      </c>
      <c r="C40" t="n">
        <v>0</v>
      </c>
      <c r="D40" t="n">
        <v>18135</v>
      </c>
    </row>
    <row r="41">
      <c r="A41" t="inlineStr">
        <is>
          <t>IT03160128000456</t>
        </is>
      </c>
      <c r="B41" t="inlineStr">
        <is>
          <t>Dp01514601_Milano_Nosedo</t>
        </is>
      </c>
      <c r="C41" t="n">
        <v>0</v>
      </c>
      <c r="D41" t="n">
        <v>91382.25</v>
      </c>
    </row>
    <row r="42">
      <c r="A42" t="inlineStr">
        <is>
          <t>UKENNE_NU_TP000012</t>
        </is>
      </c>
      <c r="B42" t="inlineStr">
        <is>
          <t>MIDDLESBOROUGH   STW</t>
        </is>
      </c>
      <c r="C42" t="n">
        <v>0</v>
      </c>
      <c r="D42" t="n">
        <v>145420.42</v>
      </c>
    </row>
    <row r="43">
      <c r="A43" t="inlineStr">
        <is>
          <t>UKENNE_YW_TP000098</t>
        </is>
      </c>
      <c r="B43" t="inlineStr">
        <is>
          <t>LEEDS (KNOSTROP) STW</t>
        </is>
      </c>
      <c r="C43" t="n">
        <v>0</v>
      </c>
      <c r="D43" t="n">
        <v>261376.77</v>
      </c>
    </row>
    <row r="44">
      <c r="A44" t="inlineStr">
        <is>
          <t>FIJVP_O000000000036</t>
        </is>
      </c>
      <c r="B44" t="inlineStr">
        <is>
          <t>TP (36) of Helsingin kt.</t>
        </is>
      </c>
      <c r="C44" t="n">
        <v>0</v>
      </c>
      <c r="D44" t="n">
        <v>67155.27</v>
      </c>
    </row>
    <row r="45">
      <c r="A45" t="inlineStr">
        <is>
          <t>PLMP0020</t>
        </is>
      </c>
      <c r="B45" t="inlineStr">
        <is>
          <t>Tarnów</t>
        </is>
      </c>
      <c r="C45" t="n">
        <v>0</v>
      </c>
      <c r="D45" t="n">
        <v>194160.17</v>
      </c>
    </row>
    <row r="46">
      <c r="A46" t="inlineStr">
        <is>
          <t>DETP_BB239</t>
        </is>
      </c>
      <c r="B46" t="inlineStr">
        <is>
          <t>Stahnsdorf</t>
        </is>
      </c>
      <c r="C46" t="n">
        <v>0</v>
      </c>
      <c r="D46" t="n">
        <v>166674.76</v>
      </c>
    </row>
    <row r="47">
      <c r="A47" t="inlineStr">
        <is>
          <t>NL25021</t>
        </is>
      </c>
      <c r="B47" t="inlineStr">
        <is>
          <t>UWWTP BATH</t>
        </is>
      </c>
      <c r="C47" t="n">
        <v>0</v>
      </c>
      <c r="D47" t="n">
        <v>513260.56</v>
      </c>
    </row>
    <row r="48">
      <c r="A48" t="inlineStr">
        <is>
          <t>NL16010</t>
        </is>
      </c>
      <c r="B48" t="inlineStr">
        <is>
          <t>UWWTP KRALINGSEVEER</t>
        </is>
      </c>
      <c r="C48" t="n">
        <v>0</v>
      </c>
      <c r="D48" t="n">
        <v>22380.63</v>
      </c>
    </row>
    <row r="49">
      <c r="A49" t="inlineStr">
        <is>
          <t>PLPM0110</t>
        </is>
      </c>
      <c r="B49" t="inlineStr">
        <is>
          <t>International Paper-Kwidzyn Sp z o.o.</t>
        </is>
      </c>
      <c r="C49" t="n">
        <v>0</v>
      </c>
      <c r="D49" t="n">
        <v>298490.25</v>
      </c>
    </row>
    <row r="50">
      <c r="A50" t="inlineStr">
        <is>
          <t>PLLO0010</t>
        </is>
      </c>
      <c r="B50" t="inlineStr">
        <is>
          <t>Goś Łam</t>
        </is>
      </c>
      <c r="C50" t="n">
        <v>0</v>
      </c>
      <c r="D50" t="n">
        <v>75217.08</v>
      </c>
    </row>
    <row r="51">
      <c r="A51" t="inlineStr">
        <is>
          <t>PLKP0011</t>
        </is>
      </c>
      <c r="B51" t="inlineStr">
        <is>
          <t>Toruń Centralna Oczyszczalnia Ścieków</t>
        </is>
      </c>
      <c r="C51" t="n">
        <v>0</v>
      </c>
      <c r="D51" t="n">
        <v>102630.17</v>
      </c>
    </row>
    <row r="52">
      <c r="A52" t="inlineStr">
        <is>
          <t>DETP_BE01</t>
        </is>
      </c>
      <c r="B52" t="inlineStr">
        <is>
          <t>Ruhleben</t>
        </is>
      </c>
      <c r="C52" t="n">
        <v>0</v>
      </c>
      <c r="D52" t="n">
        <v>17135.02</v>
      </c>
    </row>
    <row r="53">
      <c r="A53" t="inlineStr">
        <is>
          <t>DETP_BW2215100000002</t>
        </is>
      </c>
      <c r="B53" t="inlineStr">
        <is>
          <t>SKA AZV Heidelberg</t>
        </is>
      </c>
      <c r="C53" t="n">
        <v>0</v>
      </c>
      <c r="D53" t="n">
        <v>84691.8</v>
      </c>
    </row>
    <row r="54">
      <c r="A54" t="inlineStr">
        <is>
          <t>BGWT68134_00_01</t>
        </is>
      </c>
      <c r="B54" t="inlineStr">
        <is>
          <t>UWWTP Sofia</t>
        </is>
      </c>
      <c r="C54" t="n">
        <v>0</v>
      </c>
      <c r="D54" t="n">
        <v>498436.5</v>
      </c>
    </row>
    <row r="55">
      <c r="A55" t="inlineStr">
        <is>
          <t>PLPM0010</t>
        </is>
      </c>
      <c r="B55" t="inlineStr">
        <is>
          <t>Gdańsk-Wschód</t>
        </is>
      </c>
      <c r="C55" t="n">
        <v>0</v>
      </c>
      <c r="D55" t="n">
        <v>180759.71</v>
      </c>
    </row>
    <row r="56">
      <c r="A56" t="inlineStr">
        <is>
          <t>DETP_HE064120006011</t>
        </is>
      </c>
      <c r="B56" t="inlineStr">
        <is>
          <t>Frankfurt am Main / Sindlingen</t>
        </is>
      </c>
      <c r="C56" t="n">
        <v>0</v>
      </c>
      <c r="D56" t="n">
        <v>84851.09</v>
      </c>
    </row>
    <row r="57">
      <c r="A57" t="inlineStr">
        <is>
          <t>ES1210410001010E</t>
        </is>
      </c>
      <c r="B57" t="inlineStr">
        <is>
          <t>HUELVA</t>
        </is>
      </c>
      <c r="C57" t="n">
        <v>0</v>
      </c>
      <c r="D57" t="n">
        <v>205209.74</v>
      </c>
    </row>
    <row r="58">
      <c r="A58" t="inlineStr">
        <is>
          <t>IT05000000000213</t>
        </is>
      </c>
      <c r="B58" t="inlineStr">
        <is>
          <t>Venezia_Fusina_Via_Dei_Cantieri</t>
        </is>
      </c>
      <c r="C58" t="n">
        <v>0</v>
      </c>
      <c r="D58" t="n">
        <v>66144.97</v>
      </c>
    </row>
    <row r="59">
      <c r="A59" t="inlineStr">
        <is>
          <t>NL31005</t>
        </is>
      </c>
      <c r="B59" t="inlineStr">
        <is>
          <t>UWWTP AMSTERDAN-WESTPOORT</t>
        </is>
      </c>
      <c r="C59" t="n">
        <v>0</v>
      </c>
      <c r="D59" t="n">
        <v>177267.42</v>
      </c>
    </row>
    <row r="60">
      <c r="A60" t="inlineStr">
        <is>
          <t>NL15008</t>
        </is>
      </c>
      <c r="B60" t="inlineStr">
        <is>
          <t>UWWTP HARNASCHPOLDER</t>
        </is>
      </c>
      <c r="C60" t="n">
        <v>0</v>
      </c>
      <c r="D60" t="n">
        <v>17216.72</v>
      </c>
    </row>
    <row r="61">
      <c r="A61" t="inlineStr">
        <is>
          <t>UKENTH_TWU_TP000125</t>
        </is>
      </c>
      <c r="B61" t="inlineStr">
        <is>
          <t>LONDON (Riverside STW)</t>
        </is>
      </c>
      <c r="C61" t="n">
        <v>0</v>
      </c>
      <c r="D61" t="n">
        <v>136366.92</v>
      </c>
    </row>
    <row r="62">
      <c r="A62" t="inlineStr">
        <is>
          <t>UKENNE_YW_TP000095</t>
        </is>
      </c>
      <c r="B62" t="inlineStr">
        <is>
          <t>HULL STW</t>
        </is>
      </c>
      <c r="C62" t="n">
        <v>0</v>
      </c>
      <c r="D62" t="n">
        <v>187561.37</v>
      </c>
    </row>
    <row r="63">
      <c r="A63" t="inlineStr">
        <is>
          <t>DETP_NW1</t>
        </is>
      </c>
      <c r="B63" t="inlineStr">
        <is>
          <t>Aachen-Soers</t>
        </is>
      </c>
      <c r="C63" t="n">
        <v>0</v>
      </c>
      <c r="D63" t="n">
        <v>128198.02</v>
      </c>
    </row>
    <row r="64">
      <c r="A64" t="inlineStr">
        <is>
          <t>HU-WWTP-AIA440</t>
        </is>
      </c>
      <c r="B64" t="inlineStr">
        <is>
          <t>Budapest (Eszak Pest) - Szennyviztisztito Telep</t>
        </is>
      </c>
      <c r="C64" t="n">
        <v>0</v>
      </c>
      <c r="D64" t="n">
        <v>103530.7</v>
      </c>
    </row>
    <row r="65">
      <c r="A65" t="inlineStr">
        <is>
          <t>IT08000000000007</t>
        </is>
      </c>
      <c r="B65" t="inlineStr">
        <is>
          <t>Bologna_Corticella</t>
        </is>
      </c>
      <c r="C65" t="n">
        <v>0</v>
      </c>
      <c r="D65" t="n">
        <v>84790.69</v>
      </c>
    </row>
    <row r="66">
      <c r="A66" t="inlineStr">
        <is>
          <t>PLPM0020</t>
        </is>
      </c>
      <c r="B66" t="inlineStr">
        <is>
          <t>Goś Dębogórze</t>
        </is>
      </c>
      <c r="C66" t="n">
        <v>0</v>
      </c>
      <c r="D66" t="n">
        <v>101188.76</v>
      </c>
    </row>
    <row r="67">
      <c r="A67" t="inlineStr">
        <is>
          <t>DETP_ST152611000039</t>
        </is>
      </c>
      <c r="B67" t="inlineStr">
        <is>
          <t>Schkopau</t>
        </is>
      </c>
      <c r="C67" t="n">
        <v>0</v>
      </c>
      <c r="D67" t="n">
        <v>76276.10000000001</v>
      </c>
    </row>
    <row r="68">
      <c r="A68" t="inlineStr">
        <is>
          <t>HRUWWTP_0004008_001</t>
        </is>
      </c>
      <c r="B68" t="inlineStr">
        <is>
          <t>Zagreb</t>
        </is>
      </c>
      <c r="C68" t="n">
        <v>0</v>
      </c>
      <c r="D68" t="n">
        <v>232920.15</v>
      </c>
    </row>
    <row r="69">
      <c r="A69" t="inlineStr">
        <is>
          <t>UKENTH_TWU_TP000102</t>
        </is>
      </c>
      <c r="B69" t="inlineStr">
        <is>
          <t>LONDON (Long Reach STW)</t>
        </is>
      </c>
      <c r="C69" t="n">
        <v>0</v>
      </c>
      <c r="D69" t="n">
        <v>141667.29</v>
      </c>
    </row>
    <row r="70">
      <c r="A70" t="inlineStr">
        <is>
          <t>PLLO0030</t>
        </is>
      </c>
      <c r="B70" t="inlineStr">
        <is>
          <t>Kutno</t>
        </is>
      </c>
      <c r="C70" t="n">
        <v>0</v>
      </c>
      <c r="D70" t="n">
        <v>98902.81</v>
      </c>
    </row>
    <row r="71">
      <c r="A71" t="inlineStr">
        <is>
          <t>FR026830000459</t>
        </is>
      </c>
      <c r="B71" t="inlineStr">
        <is>
          <t>SAUSHEIM</t>
        </is>
      </c>
      <c r="C71" t="n">
        <v>0</v>
      </c>
      <c r="D71" t="n">
        <v>222205.37</v>
      </c>
    </row>
    <row r="72">
      <c r="A72" t="inlineStr">
        <is>
          <t>RO7BV_511</t>
        </is>
      </c>
      <c r="B72" t="inlineStr">
        <is>
          <t>ROWP SC COMPANIA APA SA Brasov</t>
        </is>
      </c>
      <c r="C72" t="n">
        <v>0</v>
      </c>
      <c r="D72" t="n">
        <v>31666.11</v>
      </c>
    </row>
    <row r="73">
      <c r="A73" t="inlineStr">
        <is>
          <t>ATTP_5-A1699622R154</t>
        </is>
      </c>
      <c r="B73" t="inlineStr">
        <is>
          <t>ARA Siggerwiesen</t>
        </is>
      </c>
      <c r="C73" t="n">
        <v>0</v>
      </c>
      <c r="D73" t="n">
        <v>28506.73</v>
      </c>
    </row>
    <row r="74">
      <c r="A74" t="inlineStr">
        <is>
          <t>ES10030140002012E</t>
        </is>
      </c>
      <c r="B74" t="inlineStr">
        <is>
          <t>RINCON DE LEON</t>
        </is>
      </c>
      <c r="C74" t="n">
        <v>0</v>
      </c>
      <c r="D74" t="n">
        <v>183295.95</v>
      </c>
    </row>
    <row r="75">
      <c r="A75" t="inlineStr">
        <is>
          <t>DETP_BW1115100000001</t>
        </is>
      </c>
      <c r="B75" t="inlineStr">
        <is>
          <t>Hauptklärwerk Mühlhausen</t>
        </is>
      </c>
      <c r="C75" t="n">
        <v>0</v>
      </c>
      <c r="D75" t="n">
        <v>109554.73</v>
      </c>
    </row>
    <row r="76">
      <c r="A76" t="inlineStr">
        <is>
          <t>DETP_NI201000201</t>
        </is>
      </c>
      <c r="B76" t="inlineStr">
        <is>
          <t>2530002102 KA Herrenhausen</t>
        </is>
      </c>
      <c r="C76" t="n">
        <v>0</v>
      </c>
      <c r="D76" t="n">
        <v>29877.1</v>
      </c>
    </row>
    <row r="77">
      <c r="A77" t="inlineStr">
        <is>
          <t>FR037649801000</t>
        </is>
      </c>
      <c r="B77" t="inlineStr">
        <is>
          <t>ROUEN</t>
        </is>
      </c>
      <c r="C77" t="n">
        <v>0</v>
      </c>
      <c r="D77" t="n">
        <v>119609.28</v>
      </c>
    </row>
    <row r="78">
      <c r="A78" t="inlineStr">
        <is>
          <t>UKENTH_TWU_TP000014</t>
        </is>
      </c>
      <c r="B78" t="inlineStr">
        <is>
          <t>LONDON (Becton STW)</t>
        </is>
      </c>
      <c r="C78" t="n">
        <v>0</v>
      </c>
      <c r="D78" t="n">
        <v>17668.87</v>
      </c>
    </row>
    <row r="79">
      <c r="A79" t="inlineStr">
        <is>
          <t>DETP_SH56027</t>
        </is>
      </c>
      <c r="B79" t="inlineStr">
        <is>
          <t>Hetlingen</t>
        </is>
      </c>
      <c r="C79" t="n">
        <v>0</v>
      </c>
      <c r="D79" t="n">
        <v>119385.02</v>
      </c>
    </row>
    <row r="80">
      <c r="A80" t="inlineStr">
        <is>
          <t>ES9082110001010E</t>
        </is>
      </c>
      <c r="B80" t="inlineStr">
        <is>
          <t>SANT FELIU DE LLOBREGAT</t>
        </is>
      </c>
      <c r="C80" t="n">
        <v>0</v>
      </c>
      <c r="D80" t="n">
        <v>61601.71</v>
      </c>
    </row>
    <row r="81">
      <c r="A81" t="inlineStr">
        <is>
          <t>ES1410910002013E</t>
        </is>
      </c>
      <c r="B81" t="inlineStr">
        <is>
          <t>LA RANILLA</t>
        </is>
      </c>
      <c r="C81" t="n">
        <v>0</v>
      </c>
      <c r="D81" t="n">
        <v>518190.32</v>
      </c>
    </row>
    <row r="82">
      <c r="A82" t="inlineStr">
        <is>
          <t>ATTP_3-11</t>
        </is>
      </c>
      <c r="B82" t="inlineStr">
        <is>
          <t>ARA AWV Schwechat</t>
        </is>
      </c>
      <c r="C82" t="n">
        <v>0</v>
      </c>
      <c r="D82" t="n">
        <v>102200.24</v>
      </c>
    </row>
    <row r="83">
      <c r="A83" t="inlineStr">
        <is>
          <t>EL300001011</t>
        </is>
      </c>
      <c r="B83" t="inlineStr">
        <is>
          <t>PSYTTALIA</t>
        </is>
      </c>
      <c r="C83" t="n">
        <v>0</v>
      </c>
      <c r="D83" t="n">
        <v>54325.34</v>
      </c>
    </row>
    <row r="84">
      <c r="A84" t="inlineStr">
        <is>
          <t>BERW6207901</t>
        </is>
      </c>
      <c r="B84" t="inlineStr">
        <is>
          <t>LIEGE OUPEYE</t>
        </is>
      </c>
      <c r="C84" t="n">
        <v>0</v>
      </c>
      <c r="D84" t="n">
        <v>79901.16</v>
      </c>
    </row>
    <row r="85">
      <c r="A85" t="inlineStr">
        <is>
          <t>DETP_NW35</t>
        </is>
      </c>
      <c r="B85" t="inlineStr">
        <is>
          <t>Düren</t>
        </is>
      </c>
      <c r="C85" t="n">
        <v>0</v>
      </c>
      <c r="D85" t="n">
        <v>65927.94</v>
      </c>
    </row>
    <row r="86">
      <c r="A86" t="inlineStr">
        <is>
          <t>IETP_D0034</t>
        </is>
      </c>
      <c r="B86" t="inlineStr">
        <is>
          <t>Ringsend</t>
        </is>
      </c>
      <c r="C86" t="n">
        <v>0</v>
      </c>
      <c r="D86" t="n">
        <v>42674.98</v>
      </c>
    </row>
    <row r="87">
      <c r="A87" t="inlineStr">
        <is>
          <t>UKENAN_AW_TP000308</t>
        </is>
      </c>
      <c r="B87" t="inlineStr">
        <is>
          <t>TILBURY STW, TILBURY, ESSEX"</t>
        </is>
      </c>
      <c r="C87" t="n">
        <v>0</v>
      </c>
      <c r="D87" t="n">
        <v>95201.52</v>
      </c>
    </row>
    <row r="88">
      <c r="A88" t="inlineStr">
        <is>
          <t>DETP_NW316</t>
        </is>
      </c>
      <c r="B88" t="inlineStr">
        <is>
          <t>Abwasserverband Obere Lutter</t>
        </is>
      </c>
      <c r="C88" t="n">
        <v>0</v>
      </c>
      <c r="D88" t="n">
        <v>47961.83</v>
      </c>
    </row>
    <row r="89">
      <c r="A89" t="inlineStr">
        <is>
          <t>FR026751900405</t>
        </is>
      </c>
      <c r="B89" t="inlineStr">
        <is>
          <t>STRASBOURG - LA WANTZENAU</t>
        </is>
      </c>
      <c r="C89" t="n">
        <v>0</v>
      </c>
      <c r="D89" t="n">
        <v>74638.86</v>
      </c>
    </row>
    <row r="90">
      <c r="A90" t="inlineStr">
        <is>
          <t>PLZA0011</t>
        </is>
      </c>
      <c r="B90" t="inlineStr">
        <is>
          <t>Pomorzany</t>
        </is>
      </c>
      <c r="C90" t="n">
        <v>0</v>
      </c>
      <c r="D90" t="n">
        <v>56187.54</v>
      </c>
    </row>
    <row r="91">
      <c r="A91" t="inlineStr">
        <is>
          <t>DETP_NW1204</t>
        </is>
      </c>
      <c r="B91" t="inlineStr">
        <is>
          <t>Dortmund-Deusen</t>
        </is>
      </c>
      <c r="C91" t="n">
        <v>0</v>
      </c>
      <c r="D91" t="n">
        <v>27094.08</v>
      </c>
    </row>
    <row r="92">
      <c r="A92" t="inlineStr">
        <is>
          <t>IT19CT00G7001DE001</t>
        </is>
      </c>
      <c r="B92" t="inlineStr">
        <is>
          <t>Impianto_Consortile_Di_Catania</t>
        </is>
      </c>
      <c r="C92" t="n">
        <v>0</v>
      </c>
      <c r="D92" t="n">
        <v>73513.09</v>
      </c>
    </row>
    <row r="93">
      <c r="A93" t="inlineStr">
        <is>
          <t>FR060934172001</t>
        </is>
      </c>
      <c r="B93" t="inlineStr">
        <is>
          <t>MAERA (EX CEREIREDE)</t>
        </is>
      </c>
      <c r="C93" t="n">
        <v>0</v>
      </c>
      <c r="D93" t="n">
        <v>46750.33</v>
      </c>
    </row>
    <row r="94">
      <c r="A94" t="inlineStr">
        <is>
          <t>NL11014</t>
        </is>
      </c>
      <c r="B94" t="inlineStr">
        <is>
          <t>UWWTP AMSTERDAM-WEST</t>
        </is>
      </c>
      <c r="C94" t="n">
        <v>0</v>
      </c>
      <c r="D94" t="n">
        <v>128792.01</v>
      </c>
    </row>
    <row r="95">
      <c r="A95" t="inlineStr">
        <is>
          <t>ES7240890002010E</t>
        </is>
      </c>
      <c r="B95" t="inlineStr">
        <is>
          <t>LEON</t>
        </is>
      </c>
      <c r="C95" t="n">
        <v>0</v>
      </c>
      <c r="D95" t="n">
        <v>79075.97</v>
      </c>
    </row>
    <row r="96">
      <c r="A96" t="inlineStr">
        <is>
          <t>RO5TM_528</t>
        </is>
      </c>
      <c r="B96" t="inlineStr">
        <is>
          <t>ROWP RA Aquatim Timisoara</t>
        </is>
      </c>
      <c r="C96" t="n">
        <v>0</v>
      </c>
      <c r="D96" t="n">
        <v>119004.69</v>
      </c>
    </row>
    <row r="97">
      <c r="A97" t="inlineStr">
        <is>
          <t>FR0531555V018</t>
        </is>
      </c>
      <c r="B97" t="inlineStr">
        <is>
          <t>TOULOUSE GINESTOUS</t>
        </is>
      </c>
      <c r="C97" t="n">
        <v>0</v>
      </c>
      <c r="D97" t="n">
        <v>46034.82</v>
      </c>
    </row>
    <row r="98">
      <c r="A98" t="inlineStr">
        <is>
          <t>ES10462501014011E</t>
        </is>
      </c>
      <c r="B98" t="inlineStr">
        <is>
          <t>PINEDO 1</t>
        </is>
      </c>
      <c r="C98" t="n">
        <v>0</v>
      </c>
      <c r="D98" t="n">
        <v>197887.55</v>
      </c>
    </row>
    <row r="99">
      <c r="A99" t="inlineStr">
        <is>
          <t>IT09RT0017</t>
        </is>
      </c>
      <c r="B99" t="inlineStr">
        <is>
          <t>Idl_San_Colombano</t>
        </is>
      </c>
      <c r="C99" t="n">
        <v>0</v>
      </c>
      <c r="D99" t="n">
        <v>139858.66</v>
      </c>
    </row>
    <row r="100">
      <c r="A100" t="inlineStr">
        <is>
          <t>ES10030140002011E</t>
        </is>
      </c>
      <c r="B100" t="inlineStr">
        <is>
          <t>MONTE ORGEGIA</t>
        </is>
      </c>
      <c r="C100" t="n">
        <v>0</v>
      </c>
      <c r="D100" t="n">
        <v>153369.15</v>
      </c>
    </row>
    <row r="101">
      <c r="A101" t="inlineStr">
        <is>
          <t>DETP_NW601</t>
        </is>
      </c>
      <c r="B101" t="inlineStr">
        <is>
          <t>Düsseldorf-Süd</t>
        </is>
      </c>
      <c r="C101" t="n">
        <v>0</v>
      </c>
      <c r="D101" t="n">
        <v>209972.32</v>
      </c>
    </row>
    <row r="102">
      <c r="A102" t="inlineStr">
        <is>
          <t>EL122001013</t>
        </is>
      </c>
      <c r="B102" t="inlineStr">
        <is>
          <t>THESSALONIKI</t>
        </is>
      </c>
      <c r="C102" t="n">
        <v>0</v>
      </c>
      <c r="D102" t="n">
        <v>300847.83</v>
      </c>
    </row>
    <row r="103">
      <c r="A103" t="inlineStr">
        <is>
          <t>DETP_NW2104</t>
        </is>
      </c>
      <c r="B103" t="inlineStr">
        <is>
          <t>Mönchengladbach GWK I</t>
        </is>
      </c>
      <c r="C103" t="n">
        <v>0</v>
      </c>
      <c r="D103" t="n">
        <v>89540.73</v>
      </c>
    </row>
    <row r="104">
      <c r="A104" t="inlineStr">
        <is>
          <t>DK6070012</t>
        </is>
      </c>
      <c r="B104" t="inlineStr">
        <is>
          <t>FREDERICIA CENTRALRENS.</t>
        </is>
      </c>
      <c r="C104" t="n">
        <v>0</v>
      </c>
      <c r="D104" t="n">
        <v>57842.11</v>
      </c>
    </row>
    <row r="105">
      <c r="A105" t="inlineStr">
        <is>
          <t>UKENTH_TWU_TP000054</t>
        </is>
      </c>
      <c r="B105" t="inlineStr">
        <is>
          <t>LONDON (Deepham STW)</t>
        </is>
      </c>
      <c r="C105" t="n">
        <v>0</v>
      </c>
      <c r="D105" t="n">
        <v>4966.08</v>
      </c>
    </row>
    <row r="106">
      <c r="A106" t="inlineStr">
        <is>
          <t>ES3330242402020E</t>
        </is>
      </c>
      <c r="B106" t="inlineStr">
        <is>
          <t>GIJON OESTE</t>
        </is>
      </c>
      <c r="C106" t="n">
        <v>0</v>
      </c>
      <c r="D106" t="n">
        <v>82941.87</v>
      </c>
    </row>
    <row r="107">
      <c r="A107" t="inlineStr">
        <is>
          <t>FR037800501000</t>
        </is>
      </c>
      <c r="B107" t="inlineStr">
        <is>
          <t>PARIS SEINE AVAL</t>
        </is>
      </c>
      <c r="C107" t="n">
        <v>0</v>
      </c>
      <c r="D107" t="n">
        <v>459681.64</v>
      </c>
    </row>
    <row r="108">
      <c r="A108" t="inlineStr">
        <is>
          <t>CZ4205-763691-26161516-4/1U</t>
        </is>
      </c>
      <c r="B108" t="inlineStr">
        <is>
          <t>COV Steti -Papirny Mondi</t>
        </is>
      </c>
      <c r="C108" t="n">
        <v>0</v>
      </c>
      <c r="D108" t="n">
        <v>368903.73</v>
      </c>
    </row>
    <row r="109">
      <c r="A109" t="inlineStr">
        <is>
          <t>PLLE0010</t>
        </is>
      </c>
      <c r="B109" t="inlineStr">
        <is>
          <t>Lublin-Hajdów</t>
        </is>
      </c>
      <c r="C109" t="n">
        <v>0</v>
      </c>
      <c r="D109" t="n">
        <v>48440.2</v>
      </c>
    </row>
    <row r="110">
      <c r="A110" t="inlineStr">
        <is>
          <t>LV100175</t>
        </is>
      </c>
      <c r="B110" t="inlineStr">
        <is>
          <t>BAI "Daugavgrīva"</t>
        </is>
      </c>
      <c r="C110" t="n">
        <v>0</v>
      </c>
      <c r="D110" t="n">
        <v>94391.99000000001</v>
      </c>
    </row>
    <row r="111">
      <c r="A111" t="inlineStr">
        <is>
          <t>UKENNW_UU_TP000133</t>
        </is>
      </c>
      <c r="B111" t="inlineStr">
        <is>
          <t>WIGAN (HOSCAR) STW</t>
        </is>
      </c>
      <c r="C111" t="n">
        <v>0</v>
      </c>
      <c r="D111" t="n">
        <v>131829.5</v>
      </c>
    </row>
    <row r="112">
      <c r="A112" t="inlineStr">
        <is>
          <t>ES6390850005010E</t>
        </is>
      </c>
      <c r="B112" t="inlineStr">
        <is>
          <t>VUELTA OSTRERA</t>
        </is>
      </c>
      <c r="C112" t="n">
        <v>0</v>
      </c>
      <c r="D112" t="n">
        <v>76421.8</v>
      </c>
    </row>
    <row r="113">
      <c r="A113" t="inlineStr">
        <is>
          <t>IT15Q15000000002</t>
        </is>
      </c>
      <c r="B113" t="inlineStr">
        <is>
          <t>Orta_Di_Atella_Ce_Impianto_Napoli_Nord</t>
        </is>
      </c>
      <c r="C113" t="n">
        <v>0</v>
      </c>
      <c r="D113" t="n">
        <v>165717.62</v>
      </c>
    </row>
    <row r="114">
      <c r="A114" t="inlineStr">
        <is>
          <t>FR060969152001</t>
        </is>
      </c>
      <c r="B114" t="inlineStr">
        <is>
          <t>LYON - PIERRE BÉNITE</t>
        </is>
      </c>
      <c r="C114" t="n">
        <v>0</v>
      </c>
      <c r="D114" t="n">
        <v>35317.29</v>
      </c>
    </row>
    <row r="115">
      <c r="A115" t="inlineStr">
        <is>
          <t>IT15Q15000000001</t>
        </is>
      </c>
      <c r="B115" t="inlineStr">
        <is>
          <t>Caivano_Depuratore_Di_Acerra</t>
        </is>
      </c>
      <c r="C115" t="n">
        <v>0</v>
      </c>
      <c r="D115" t="n">
        <v>382181.49</v>
      </c>
    </row>
    <row r="116">
      <c r="A116" t="inlineStr">
        <is>
          <t>CZ6203-697931-46347275-4/1U</t>
        </is>
      </c>
      <c r="B116" t="inlineStr">
        <is>
          <t>COV Brno - Modrice</t>
        </is>
      </c>
      <c r="C116" t="n">
        <v>0</v>
      </c>
      <c r="D116" t="n">
        <v>91973.94</v>
      </c>
    </row>
    <row r="117">
      <c r="A117" t="inlineStr">
        <is>
          <t>RO1IS_51</t>
        </is>
      </c>
      <c r="B117" t="inlineStr">
        <is>
          <t>ROWP DANCU IASI</t>
        </is>
      </c>
      <c r="C117" t="n">
        <v>0</v>
      </c>
      <c r="D117" t="n">
        <v>117664.59</v>
      </c>
    </row>
    <row r="118">
      <c r="A118" t="inlineStr">
        <is>
          <t>DETP_BYAB-K0033</t>
        </is>
      </c>
      <c r="B118" t="inlineStr">
        <is>
          <t>Würzburg</t>
        </is>
      </c>
      <c r="C118" t="n">
        <v>0</v>
      </c>
      <c r="D118" t="n">
        <v>27750.73</v>
      </c>
    </row>
    <row r="119">
      <c r="A119" t="inlineStr">
        <is>
          <t>HU-WWTP-AIA512</t>
        </is>
      </c>
      <c r="B119" t="inlineStr">
        <is>
          <t>Debrecen - Szennyviztisztito Telep</t>
        </is>
      </c>
      <c r="C119" t="n">
        <v>0</v>
      </c>
      <c r="D119" t="n">
        <v>135869.22</v>
      </c>
    </row>
    <row r="120">
      <c r="A120" t="inlineStr">
        <is>
          <t>DETP_BW1215100000017</t>
        </is>
      </c>
      <c r="B120" t="inlineStr">
        <is>
          <t>SKA Heilbronn</t>
        </is>
      </c>
      <c r="C120" t="n">
        <v>0</v>
      </c>
      <c r="D120" t="n">
        <v>173140.05</v>
      </c>
    </row>
    <row r="121">
      <c r="A121" t="inlineStr">
        <is>
          <t>ES1110200014010E</t>
        </is>
      </c>
      <c r="B121" t="inlineStr">
        <is>
          <t>GUADALETE</t>
        </is>
      </c>
      <c r="C121" t="n">
        <v>0</v>
      </c>
      <c r="D121" t="n">
        <v>179604.77</v>
      </c>
    </row>
    <row r="122">
      <c r="A122" t="inlineStr">
        <is>
          <t>PLWL1330</t>
        </is>
      </c>
      <c r="B122" t="inlineStr">
        <is>
          <t>Dopiewo</t>
        </is>
      </c>
      <c r="C122" t="n">
        <v>0</v>
      </c>
      <c r="D122" t="n">
        <v>107906.37</v>
      </c>
    </row>
    <row r="123">
      <c r="A123" t="inlineStr">
        <is>
          <t>DETP_NW2101</t>
        </is>
      </c>
      <c r="B123" t="inlineStr">
        <is>
          <t>Düsseldorf-Nord</t>
        </is>
      </c>
      <c r="C123" t="n">
        <v>0</v>
      </c>
      <c r="D123" t="n">
        <v>123950</v>
      </c>
    </row>
    <row r="124">
      <c r="A124" t="inlineStr">
        <is>
          <t>IT01000000000043</t>
        </is>
      </c>
      <c r="B124" t="inlineStr">
        <is>
          <t>Castiglione</t>
        </is>
      </c>
      <c r="C124" t="n">
        <v>0</v>
      </c>
      <c r="D124" t="n">
        <v>226091.34</v>
      </c>
    </row>
    <row r="125">
      <c r="A125" t="inlineStr">
        <is>
          <t>FR037862401000</t>
        </is>
      </c>
      <c r="B125" t="inlineStr">
        <is>
          <t>PARIS SEINE GRÉSILLONS</t>
        </is>
      </c>
      <c r="C125" t="n">
        <v>0</v>
      </c>
      <c r="D125" t="n">
        <v>221790.44</v>
      </c>
    </row>
    <row r="126">
      <c r="A126" t="inlineStr">
        <is>
          <t>DETP_NW3008</t>
        </is>
      </c>
      <c r="B126" t="inlineStr">
        <is>
          <t>Münster-Hauptkläranlage</t>
        </is>
      </c>
      <c r="C126" t="n">
        <v>0</v>
      </c>
      <c r="D126" t="n">
        <v>58558.17</v>
      </c>
    </row>
    <row r="127">
      <c r="A127" t="inlineStr">
        <is>
          <t>DETP_NW2138</t>
        </is>
      </c>
      <c r="B127" t="inlineStr">
        <is>
          <t>Neuss-Ost</t>
        </is>
      </c>
      <c r="C127" t="n">
        <v>0</v>
      </c>
      <c r="D127" t="n">
        <v>181444.89</v>
      </c>
    </row>
    <row r="128">
      <c r="A128" t="inlineStr">
        <is>
          <t>ES6390750005010E</t>
        </is>
      </c>
      <c r="B128" t="inlineStr">
        <is>
          <t>SAN ROMÁN</t>
        </is>
      </c>
      <c r="C128" t="n">
        <v>0</v>
      </c>
      <c r="D128" t="n">
        <v>29143.24</v>
      </c>
    </row>
    <row r="129">
      <c r="A129" t="inlineStr">
        <is>
          <t>UKENTH_TWU_TP000052</t>
        </is>
      </c>
      <c r="B129" t="inlineStr">
        <is>
          <t>LONDON (Crossness STW)</t>
        </is>
      </c>
      <c r="C129" t="n">
        <v>0</v>
      </c>
      <c r="D129" t="n">
        <v>86927.94</v>
      </c>
    </row>
    <row r="130">
      <c r="A130" t="inlineStr">
        <is>
          <t>IT19SR00G7002DE001</t>
        </is>
      </c>
      <c r="B130" t="inlineStr">
        <is>
          <t>Impianto_C_Da_Magnisi_Casale_Vecchie_Saline_Depuratore_Ias_Priolo</t>
        </is>
      </c>
      <c r="C130" t="n">
        <v>0</v>
      </c>
      <c r="D130" t="n">
        <v>149179.3</v>
      </c>
    </row>
    <row r="131">
      <c r="A131" t="inlineStr">
        <is>
          <t>PLDO0011</t>
        </is>
      </c>
      <c r="B131" t="inlineStr">
        <is>
          <t>Wrocławska Oczyszczalnia Ścieków</t>
        </is>
      </c>
      <c r="C131" t="n">
        <v>0</v>
      </c>
      <c r="D131" t="n">
        <v>138638.09</v>
      </c>
    </row>
    <row r="132">
      <c r="A132" t="inlineStr">
        <is>
          <t>ES9082790004050E</t>
        </is>
      </c>
      <c r="B132" t="inlineStr">
        <is>
          <t>TERRASSA</t>
        </is>
      </c>
      <c r="C132" t="n">
        <v>0</v>
      </c>
      <c r="D132" t="n">
        <v>11518.8</v>
      </c>
    </row>
    <row r="133">
      <c r="A133" t="inlineStr">
        <is>
          <t>UKENNW_UU_TP000042</t>
        </is>
      </c>
      <c r="B133" t="inlineStr">
        <is>
          <t>Manchester and Salford (Davyhulme)STW</t>
        </is>
      </c>
      <c r="C133" t="n">
        <v>0</v>
      </c>
      <c r="D133" t="n">
        <v>116606.61</v>
      </c>
    </row>
    <row r="134">
      <c r="A134" t="inlineStr">
        <is>
          <t>IT09RT0504</t>
        </is>
      </c>
      <c r="B134" t="inlineStr">
        <is>
          <t>Idi_Aquarno</t>
        </is>
      </c>
      <c r="C134" t="n">
        <v>0</v>
      </c>
      <c r="D134" t="n">
        <v>153750.35</v>
      </c>
    </row>
    <row r="135">
      <c r="A135" t="inlineStr">
        <is>
          <t>ES1410910002012E</t>
        </is>
      </c>
      <c r="B135" t="inlineStr">
        <is>
          <t>COPERO</t>
        </is>
      </c>
      <c r="C135" t="n">
        <v>0</v>
      </c>
      <c r="D135" t="n">
        <v>903893.66</v>
      </c>
    </row>
    <row r="136">
      <c r="A136" t="inlineStr">
        <is>
          <t>FR025745200219</t>
        </is>
      </c>
      <c r="B136" t="inlineStr">
        <is>
          <t>METZ</t>
        </is>
      </c>
      <c r="C136" t="n">
        <v>0</v>
      </c>
      <c r="D136" t="n">
        <v>106637.03</v>
      </c>
    </row>
    <row r="137">
      <c r="A137" t="inlineStr">
        <is>
          <t>FIJVP_O000000000101</t>
        </is>
      </c>
      <c r="B137" t="inlineStr">
        <is>
          <t>TP (101) of Helsingin kt.</t>
        </is>
      </c>
      <c r="C137" t="n">
        <v>0</v>
      </c>
      <c r="D137" t="n">
        <v>84059.17</v>
      </c>
    </row>
    <row r="138">
      <c r="A138" t="inlineStr">
        <is>
          <t>ES14300160001030E</t>
        </is>
      </c>
      <c r="B138" t="inlineStr">
        <is>
          <t>CARTAGENA (CABEZO BEAZA)</t>
        </is>
      </c>
      <c r="C138" t="n">
        <v>0</v>
      </c>
      <c r="D138" t="n">
        <v>422871.07</v>
      </c>
    </row>
    <row r="139">
      <c r="A139" t="inlineStr">
        <is>
          <t>IT15Q15000000006</t>
        </is>
      </c>
      <c r="B139" t="inlineStr">
        <is>
          <t>Marcianise_Ce_Depuratore_Di_Marcianise</t>
        </is>
      </c>
      <c r="C139" t="n">
        <v>0</v>
      </c>
      <c r="D139" t="n">
        <v>452060.61</v>
      </c>
    </row>
    <row r="140">
      <c r="A140" t="inlineStr">
        <is>
          <t>DETP_BYDON-K0220</t>
        </is>
      </c>
      <c r="B140" t="inlineStr">
        <is>
          <t>Zweckverband Klärwerk Steinhäule</t>
        </is>
      </c>
      <c r="C140" t="n">
        <v>0</v>
      </c>
      <c r="D140" t="n">
        <v>112726.65</v>
      </c>
    </row>
    <row r="141">
      <c r="A141" t="inlineStr">
        <is>
          <t>UKENNE_YW_TP000082</t>
        </is>
      </c>
      <c r="B141" t="inlineStr">
        <is>
          <t>BRADFORD ESHOLT STW</t>
        </is>
      </c>
      <c r="C141" t="n">
        <v>0</v>
      </c>
      <c r="D141" t="n">
        <v>106008.86</v>
      </c>
    </row>
    <row r="142">
      <c r="A142" t="inlineStr">
        <is>
          <t>FR0444109S0011</t>
        </is>
      </c>
      <c r="B142" t="inlineStr">
        <is>
          <t>NANTES 1-TOUGAS</t>
        </is>
      </c>
      <c r="C142" t="n">
        <v>0</v>
      </c>
      <c r="D142" t="n">
        <v>75685.63</v>
      </c>
    </row>
    <row r="143">
      <c r="A143" t="inlineStr">
        <is>
          <t>ES7372740002010E</t>
        </is>
      </c>
      <c r="B143" t="inlineStr">
        <is>
          <t>SALAMANCA</t>
        </is>
      </c>
      <c r="C143" t="n">
        <v>0</v>
      </c>
      <c r="D143" t="n">
        <v>254080.32</v>
      </c>
    </row>
    <row r="144">
      <c r="A144" t="inlineStr">
        <is>
          <t>UKENNW_UU_TP000124</t>
        </is>
      </c>
      <c r="B144" t="inlineStr">
        <is>
          <t>NORTH WARRINGTON   STW</t>
        </is>
      </c>
      <c r="C144" t="n">
        <v>0</v>
      </c>
      <c r="D144" t="n">
        <v>332186.03</v>
      </c>
    </row>
    <row r="145">
      <c r="A145" t="inlineStr">
        <is>
          <t>UKENTH_TWU_TP000126</t>
        </is>
      </c>
      <c r="B145" t="inlineStr">
        <is>
          <t>Rye Meads STW</t>
        </is>
      </c>
      <c r="C145" t="n">
        <v>0</v>
      </c>
      <c r="D145" t="n">
        <v>111611.74</v>
      </c>
    </row>
    <row r="146">
      <c r="A146" t="inlineStr">
        <is>
          <t>IT15Q15000000004</t>
        </is>
      </c>
      <c r="B146" t="inlineStr">
        <is>
          <t>Marigliano_Na_Depuratore_Di_Nola</t>
        </is>
      </c>
      <c r="C146" t="n">
        <v>0</v>
      </c>
      <c r="D146" t="n">
        <v>136975.07</v>
      </c>
    </row>
    <row r="147">
      <c r="A147" t="inlineStr">
        <is>
          <t>DETP_BYN-K0002</t>
        </is>
      </c>
      <c r="B147" t="inlineStr">
        <is>
          <t>Erlangen</t>
        </is>
      </c>
      <c r="C147" t="n">
        <v>0</v>
      </c>
      <c r="D147" t="n">
        <v>60261.86</v>
      </c>
    </row>
    <row r="148">
      <c r="A148" t="inlineStr">
        <is>
          <t>IT09RT0506</t>
        </is>
      </c>
      <c r="B148" t="inlineStr">
        <is>
          <t>Idi_Cuoio_Depur</t>
        </is>
      </c>
      <c r="C148" t="n">
        <v>0</v>
      </c>
      <c r="D148" t="n">
        <v>65513.86</v>
      </c>
    </row>
    <row r="149">
      <c r="A149" t="inlineStr">
        <is>
          <t>ES1410700001010E</t>
        </is>
      </c>
      <c r="B149" t="inlineStr">
        <is>
          <t>PALOMARES</t>
        </is>
      </c>
      <c r="C149" t="n">
        <v>0</v>
      </c>
      <c r="D149" t="n">
        <v>477998.28</v>
      </c>
    </row>
    <row r="150">
      <c r="A150" t="inlineStr">
        <is>
          <t>DETP_ST153581000001</t>
        </is>
      </c>
      <c r="B150" t="inlineStr">
        <is>
          <t>MD-Gerwisch</t>
        </is>
      </c>
      <c r="C150" t="n">
        <v>0</v>
      </c>
      <c r="D150" t="n">
        <v>129823.3</v>
      </c>
    </row>
    <row r="151">
      <c r="A151" t="inlineStr">
        <is>
          <t>RO3AG_51</t>
        </is>
      </c>
      <c r="B151" t="inlineStr">
        <is>
          <t>ROWP SC APA CANAL 2000 S.A. PITESTI</t>
        </is>
      </c>
      <c r="C151" t="n">
        <v>0</v>
      </c>
      <c r="D151" t="n">
        <v>20581.07</v>
      </c>
    </row>
    <row r="152">
      <c r="A152" t="inlineStr">
        <is>
          <t>IT06000000000098</t>
        </is>
      </c>
      <c r="B152" t="inlineStr">
        <is>
          <t>San_Giorgio_Di_Nogaro</t>
        </is>
      </c>
      <c r="C152" t="n">
        <v>0</v>
      </c>
      <c r="D152" t="n">
        <v>256831.8</v>
      </c>
    </row>
    <row r="153">
      <c r="A153" t="inlineStr">
        <is>
          <t>IT12000000000311</t>
        </is>
      </c>
      <c r="B153" t="inlineStr">
        <is>
          <t>ROMA_NORD</t>
        </is>
      </c>
      <c r="C153" t="n">
        <v>0</v>
      </c>
      <c r="D153" t="n">
        <v>134653.62</v>
      </c>
    </row>
    <row r="154">
      <c r="A154" t="inlineStr">
        <is>
          <t>DETP_ST152021000001</t>
        </is>
      </c>
      <c r="B154" t="inlineStr">
        <is>
          <t>Halle-Nord</t>
        </is>
      </c>
      <c r="C154" t="n">
        <v>0</v>
      </c>
      <c r="D154" t="n">
        <v>70520.5</v>
      </c>
    </row>
    <row r="155">
      <c r="A155" t="inlineStr">
        <is>
          <t>HRUWWTP_0001116_001</t>
        </is>
      </c>
      <c r="B155" t="inlineStr">
        <is>
          <t>Rijeka-Delta</t>
        </is>
      </c>
      <c r="C155" t="n">
        <v>0</v>
      </c>
      <c r="D155" t="n">
        <v>6253.83</v>
      </c>
    </row>
    <row r="156">
      <c r="A156" t="inlineStr">
        <is>
          <t>FR025435700075</t>
        </is>
      </c>
      <c r="B156" t="inlineStr">
        <is>
          <t>MAXEVILLE</t>
        </is>
      </c>
      <c r="C156" t="n">
        <v>0</v>
      </c>
      <c r="D156" t="n">
        <v>35447.6</v>
      </c>
    </row>
    <row r="157">
      <c r="A157" t="inlineStr">
        <is>
          <t>IT15Q90000003627</t>
        </is>
      </c>
      <c r="B157" t="inlineStr">
        <is>
          <t>Salerno_Impianto_Salerno</t>
        </is>
      </c>
      <c r="C157" t="n">
        <v>0</v>
      </c>
      <c r="D157" t="n">
        <v>68467.81</v>
      </c>
    </row>
    <row r="158">
      <c r="A158" t="inlineStr">
        <is>
          <t>IT12000000000304</t>
        </is>
      </c>
      <c r="B158" t="inlineStr">
        <is>
          <t>ROMA_EST</t>
        </is>
      </c>
      <c r="C158" t="n">
        <v>0</v>
      </c>
      <c r="D158" t="n">
        <v>88598.16</v>
      </c>
    </row>
    <row r="159">
      <c r="A159" t="inlineStr">
        <is>
          <t>UKENAN_AW_TP000069</t>
        </is>
      </c>
      <c r="B159" t="inlineStr">
        <is>
          <t>MILTON KEYNES   STW</t>
        </is>
      </c>
      <c r="C159" t="n">
        <v>0</v>
      </c>
      <c r="D159" t="n">
        <v>210986.68</v>
      </c>
    </row>
    <row r="160">
      <c r="A160" t="inlineStr">
        <is>
          <t>DETP_BW1175100000062</t>
        </is>
      </c>
      <c r="B160" t="inlineStr">
        <is>
          <t>Göppingen</t>
        </is>
      </c>
      <c r="C160" t="n">
        <v>0</v>
      </c>
      <c r="D160" t="n">
        <v>98206.19</v>
      </c>
    </row>
    <row r="161">
      <c r="A161" t="inlineStr">
        <is>
          <t>DETP_NI253014201</t>
        </is>
      </c>
      <c r="B161" t="inlineStr">
        <is>
          <t>2530142095 KA Gümmerwald</t>
        </is>
      </c>
      <c r="C161" t="n">
        <v>0</v>
      </c>
      <c r="D161" t="n">
        <v>219933.94</v>
      </c>
    </row>
    <row r="162">
      <c r="A162" t="inlineStr">
        <is>
          <t>SI_KCN_00098</t>
        </is>
      </c>
      <c r="B162" t="inlineStr">
        <is>
          <t>UWWTP_LJUBLJANA (ZALOG)</t>
        </is>
      </c>
      <c r="C162" t="n">
        <v>0</v>
      </c>
      <c r="D162" t="n">
        <v>98058.91</v>
      </c>
    </row>
    <row r="163">
      <c r="A163" t="inlineStr">
        <is>
          <t>IT03160128000384</t>
        </is>
      </c>
      <c r="B163" t="inlineStr">
        <is>
          <t>Dp01209001_Lonate_Pozzolo</t>
        </is>
      </c>
      <c r="C163" t="n">
        <v>0</v>
      </c>
      <c r="D163" t="n">
        <v>128218.56</v>
      </c>
    </row>
    <row r="164">
      <c r="A164" t="inlineStr">
        <is>
          <t>FR0472181S0016</t>
        </is>
      </c>
      <c r="B164" t="inlineStr">
        <is>
          <t>LMM_LE MANS - LA CHAUVINIÈRE</t>
        </is>
      </c>
      <c r="C164" t="n">
        <v>0</v>
      </c>
      <c r="D164" t="n">
        <v>7766.98</v>
      </c>
    </row>
    <row r="165">
      <c r="A165" t="inlineStr">
        <is>
          <t>ES10461100001010E</t>
        </is>
      </c>
      <c r="B165" t="inlineStr">
        <is>
          <t>QUART - BENAGER</t>
        </is>
      </c>
      <c r="C165" t="n">
        <v>0</v>
      </c>
      <c r="D165" t="n">
        <v>90382.09</v>
      </c>
    </row>
    <row r="166">
      <c r="A166" t="inlineStr">
        <is>
          <t>DETP_BW3165100000008</t>
        </is>
      </c>
      <c r="B166" t="inlineStr">
        <is>
          <t>SKA AZV BREISGAUER BUCHT - KA FORCHHEIM</t>
        </is>
      </c>
      <c r="C166" t="n">
        <v>0</v>
      </c>
      <c r="D166" t="n">
        <v>325977.79</v>
      </c>
    </row>
    <row r="167">
      <c r="A167" t="inlineStr">
        <is>
          <t>FR060969199001</t>
        </is>
      </c>
      <c r="B167" t="inlineStr">
        <is>
          <t>LYON - SAINT FONS</t>
        </is>
      </c>
      <c r="C167" t="n">
        <v>0</v>
      </c>
      <c r="D167" t="n">
        <v>72440.50999999999</v>
      </c>
    </row>
    <row r="168">
      <c r="A168" t="inlineStr">
        <is>
          <t>ES8130050002010E</t>
        </is>
      </c>
      <c r="B168" t="inlineStr">
        <is>
          <t>ALCAZAR DE SAN JUAN-CAMPO DE CRIPTANA</t>
        </is>
      </c>
      <c r="C168" t="n">
        <v>0</v>
      </c>
      <c r="D168" t="n">
        <v>187224.19</v>
      </c>
    </row>
    <row r="169">
      <c r="A169" t="inlineStr">
        <is>
          <t>ES3330441901011E</t>
        </is>
      </c>
      <c r="B169" t="inlineStr">
        <is>
          <t>VILLAPEREZ</t>
        </is>
      </c>
      <c r="C169" t="n">
        <v>0</v>
      </c>
      <c r="D169" t="n">
        <v>82716.86</v>
      </c>
    </row>
    <row r="170">
      <c r="A170" t="inlineStr">
        <is>
          <t>ES17260890002010E</t>
        </is>
      </c>
      <c r="B170" t="inlineStr">
        <is>
          <t>LOGROÑO</t>
        </is>
      </c>
      <c r="C170" t="n">
        <v>0</v>
      </c>
      <c r="D170" t="n">
        <v>43720.7</v>
      </c>
    </row>
    <row r="171">
      <c r="A171" t="inlineStr">
        <is>
          <t>IETP_D0033</t>
        </is>
      </c>
      <c r="B171" t="inlineStr">
        <is>
          <t>Cork city</t>
        </is>
      </c>
      <c r="C171" t="n">
        <v>0</v>
      </c>
      <c r="D171" t="n">
        <v>44727.61</v>
      </c>
    </row>
    <row r="172">
      <c r="A172" t="inlineStr">
        <is>
          <t>FR060921231001</t>
        </is>
      </c>
      <c r="B172" t="inlineStr">
        <is>
          <t>DIJON</t>
        </is>
      </c>
      <c r="C172" t="n">
        <v>0</v>
      </c>
      <c r="D172" t="n">
        <v>192877.76</v>
      </c>
    </row>
    <row r="173">
      <c r="A173" t="inlineStr">
        <is>
          <t>UKENMI_ST_TP000068</t>
        </is>
      </c>
      <c r="B173" t="inlineStr">
        <is>
          <t>COVENTRY  STW</t>
        </is>
      </c>
      <c r="C173" t="n">
        <v>0</v>
      </c>
      <c r="D173" t="n">
        <v>113290.62</v>
      </c>
    </row>
    <row r="174">
      <c r="A174" t="inlineStr">
        <is>
          <t>UKENAN_AW_TP000107</t>
        </is>
      </c>
      <c r="B174" t="inlineStr">
        <is>
          <t>NORTHAMPTON   STW</t>
        </is>
      </c>
      <c r="C174" t="n">
        <v>0</v>
      </c>
      <c r="D174" t="n">
        <v>371156.8</v>
      </c>
    </row>
    <row r="175">
      <c r="A175" t="inlineStr">
        <is>
          <t>DETP_NW608</t>
        </is>
      </c>
      <c r="B175" t="inlineStr">
        <is>
          <t>Wuppertal-Buchenhofen</t>
        </is>
      </c>
      <c r="C175" t="n">
        <v>0</v>
      </c>
      <c r="D175" t="n">
        <v>74936.99000000001</v>
      </c>
    </row>
    <row r="176">
      <c r="A176" t="inlineStr">
        <is>
          <t>PT5000519</t>
        </is>
      </c>
      <c r="B176" t="inlineStr">
        <is>
          <t>Matosinhos</t>
        </is>
      </c>
      <c r="C176" t="n">
        <v>0</v>
      </c>
      <c r="D176" t="n">
        <v>43406.78</v>
      </c>
    </row>
    <row r="177">
      <c r="A177" t="inlineStr">
        <is>
          <t>PT20501079</t>
        </is>
      </c>
      <c r="B177" t="inlineStr">
        <is>
          <t>Rib. de Moinhos</t>
        </is>
      </c>
      <c r="C177" t="n">
        <v>0</v>
      </c>
      <c r="D177" t="n">
        <v>354968.39</v>
      </c>
    </row>
    <row r="178">
      <c r="A178" t="inlineStr">
        <is>
          <t>ES13280790001013E</t>
        </is>
      </c>
      <c r="B178" t="inlineStr">
        <is>
          <t>BUTARQUE</t>
        </is>
      </c>
      <c r="C178" t="n">
        <v>0</v>
      </c>
      <c r="D178" t="n">
        <v>133852.73</v>
      </c>
    </row>
    <row r="179">
      <c r="A179" t="inlineStr">
        <is>
          <t>ES1140210009010E</t>
        </is>
      </c>
      <c r="B179" t="inlineStr">
        <is>
          <t>LA GOLONDRINA</t>
        </is>
      </c>
      <c r="C179" t="n">
        <v>0</v>
      </c>
      <c r="D179" t="n">
        <v>99789.64</v>
      </c>
    </row>
    <row r="180">
      <c r="A180" t="inlineStr">
        <is>
          <t>FR0533039V005</t>
        </is>
      </c>
      <c r="B180" t="inlineStr">
        <is>
          <t>BEGLES (CLOS DE HILDE)</t>
        </is>
      </c>
      <c r="C180" t="n">
        <v>0</v>
      </c>
      <c r="D180" t="n">
        <v>33584.25</v>
      </c>
    </row>
    <row r="181">
      <c r="A181" t="inlineStr">
        <is>
          <t>PT18075792</t>
        </is>
      </c>
      <c r="B181" t="inlineStr">
        <is>
          <t>Agra I e II</t>
        </is>
      </c>
      <c r="C181" t="n">
        <v>0</v>
      </c>
      <c r="D181" t="n">
        <v>131540.05</v>
      </c>
    </row>
    <row r="182">
      <c r="A182" t="inlineStr">
        <is>
          <t>DETP_BE02</t>
        </is>
      </c>
      <c r="B182" t="inlineStr">
        <is>
          <t>Schönerlinde</t>
        </is>
      </c>
      <c r="C182" t="n">
        <v>0</v>
      </c>
      <c r="D182" t="n">
        <v>432692.88</v>
      </c>
    </row>
    <row r="183">
      <c r="A183" t="inlineStr">
        <is>
          <t>UKENMI_ST_TP000156</t>
        </is>
      </c>
      <c r="B183" t="inlineStr">
        <is>
          <t>BIRMINGHAM &amp; BLACK COUNTRY NO. 1 (MINWORTH) STW</t>
        </is>
      </c>
      <c r="C183" t="n">
        <v>0</v>
      </c>
      <c r="D183" t="n">
        <v>229176.04</v>
      </c>
    </row>
    <row r="184">
      <c r="A184" t="inlineStr">
        <is>
          <t>EL300026013</t>
        </is>
      </c>
      <c r="B184" t="inlineStr">
        <is>
          <t>METAMORPHOSI</t>
        </is>
      </c>
      <c r="C184" t="n">
        <v>0</v>
      </c>
      <c r="D184" t="n">
        <v>111155.56</v>
      </c>
    </row>
    <row r="185">
      <c r="A185" t="inlineStr">
        <is>
          <t>UKENNW_UU_TP000018</t>
        </is>
      </c>
      <c r="B185" t="inlineStr">
        <is>
          <t>BLACKBURN STW</t>
        </is>
      </c>
      <c r="C185" t="n">
        <v>0</v>
      </c>
      <c r="D185" t="n">
        <v>104523.45</v>
      </c>
    </row>
    <row r="186">
      <c r="A186" t="inlineStr">
        <is>
          <t>FRCH0000101160</t>
        </is>
      </c>
      <c r="B186" t="inlineStr">
        <is>
          <t>FERNEY-VOLTAIRE - AIRE 2</t>
        </is>
      </c>
      <c r="C186" t="n">
        <v>0</v>
      </c>
      <c r="D186" t="n">
        <v>18309.15</v>
      </c>
    </row>
    <row r="187">
      <c r="A187" t="inlineStr">
        <is>
          <t>ES6390060001010E</t>
        </is>
      </c>
      <c r="B187" t="inlineStr">
        <is>
          <t>SAN PANTALEON</t>
        </is>
      </c>
      <c r="C187" t="n">
        <v>0</v>
      </c>
      <c r="D187" t="n">
        <v>63590.71</v>
      </c>
    </row>
    <row r="188">
      <c r="A188" t="inlineStr">
        <is>
          <t>ES10030650002001E</t>
        </is>
      </c>
      <c r="B188" t="inlineStr">
        <is>
          <t>ELX - ALGOROS</t>
        </is>
      </c>
      <c r="C188" t="n">
        <v>0</v>
      </c>
      <c r="D188" t="n">
        <v>43404.89</v>
      </c>
    </row>
    <row r="189">
      <c r="A189" t="inlineStr">
        <is>
          <t>IT15Q15000000008</t>
        </is>
      </c>
      <c r="B189" t="inlineStr">
        <is>
          <t>Pozzuoli_Na_Impianto_Napoli_Ovest_Cuma</t>
        </is>
      </c>
      <c r="C189" t="n">
        <v>0</v>
      </c>
      <c r="D189" t="n">
        <v>61496.53</v>
      </c>
    </row>
    <row r="190">
      <c r="A190" t="inlineStr">
        <is>
          <t>ES13280790001011E</t>
        </is>
      </c>
      <c r="B190" t="inlineStr">
        <is>
          <t>SUR</t>
        </is>
      </c>
      <c r="C190" t="n">
        <v>0</v>
      </c>
      <c r="D190" t="n">
        <v>2676005.31</v>
      </c>
    </row>
    <row r="191">
      <c r="A191" t="inlineStr">
        <is>
          <t>ES13280790001019E</t>
        </is>
      </c>
      <c r="B191" t="inlineStr">
        <is>
          <t>ARROYO CULEBRO CUENCA BAJA</t>
        </is>
      </c>
      <c r="C191" t="n">
        <v>0</v>
      </c>
      <c r="D191" t="n">
        <v>802484.54</v>
      </c>
    </row>
    <row r="192">
      <c r="A192" t="inlineStr">
        <is>
          <t>ES13280790001012E</t>
        </is>
      </c>
      <c r="B192" t="inlineStr">
        <is>
          <t>LA CHINA</t>
        </is>
      </c>
      <c r="C192" t="n">
        <v>0</v>
      </c>
      <c r="D192" t="n">
        <v>2676005.31</v>
      </c>
    </row>
    <row r="193">
      <c r="A193" t="inlineStr">
        <is>
          <t>ES14300161912010E</t>
        </is>
      </c>
      <c r="B193" t="inlineStr">
        <is>
          <t>MAR MENOR SUR</t>
        </is>
      </c>
      <c r="C193" t="n">
        <v>0</v>
      </c>
      <c r="D193" t="n">
        <v>285627.82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93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20" customWidth="1" min="3" max="3"/>
    <col width="20" customWidth="1" min="4" max="4"/>
    <col width="11" customWidth="1" min="5" max="5"/>
    <col width="19" customWidth="1" min="6" max="6"/>
    <col width="19" customWidth="1" min="7" max="7"/>
    <col width="20" customWidth="1" min="8" max="8"/>
    <col width="19" customWidth="1" min="9" max="9"/>
    <col width="18" customWidth="1" min="10" max="10"/>
    <col width="31" customWidth="1" min="11" max="11"/>
    <col width="20" customWidth="1" min="12" max="12"/>
    <col width="24" customWidth="1" min="13" max="13"/>
    <col width="24" customWidth="1" min="14" max="14"/>
    <col width="23" customWidth="1" min="15" max="15"/>
    <col width="21" customWidth="1" min="16" max="16"/>
    <col width="8" customWidth="1" min="17" max="17"/>
  </cols>
  <sheetData>
    <row r="1">
      <c r="A1" s="1" t="inlineStr">
        <is>
          <t>UWWTD Code</t>
        </is>
      </c>
      <c r="B1" s="1" t="inlineStr">
        <is>
          <t>Final Score</t>
        </is>
      </c>
      <c r="C1" s="1" t="inlineStr">
        <is>
          <t>Score CI Lower</t>
        </is>
      </c>
      <c r="D1" s="1" t="inlineStr">
        <is>
          <t>Score CI Upper</t>
        </is>
      </c>
      <c r="E1" s="1" t="inlineStr">
        <is>
          <t>Mean Rank</t>
        </is>
      </c>
      <c r="F1" s="1" t="inlineStr">
        <is>
          <t>Rank CI Lower</t>
        </is>
      </c>
      <c r="G1" s="1" t="inlineStr">
        <is>
          <t>Rank CI Upper</t>
        </is>
      </c>
      <c r="H1" s="1" t="inlineStr">
        <is>
          <t>Rank Std Dev</t>
        </is>
      </c>
      <c r="I1" s="1" t="inlineStr">
        <is>
          <t>Rank CI Width</t>
        </is>
      </c>
      <c r="J1" s="1" t="inlineStr">
        <is>
          <t>Top 20 Frequency</t>
        </is>
      </c>
      <c r="K1" s="1" t="inlineStr">
        <is>
          <t>H2 Renewables Potential Score</t>
        </is>
      </c>
      <c r="L1" s="1" t="inlineStr">
        <is>
          <t>H2 Logistics Score</t>
        </is>
      </c>
      <c r="M1" s="1" t="inlineStr">
        <is>
          <t>Grid Electricity Score</t>
        </is>
      </c>
      <c r="N1" s="1" t="inlineStr">
        <is>
          <t>District Heating Score</t>
        </is>
      </c>
      <c r="O1" s="1" t="inlineStr">
        <is>
          <t>Oxygen Score</t>
        </is>
      </c>
      <c r="P1" s="1" t="inlineStr">
        <is>
          <t>Risk Score</t>
        </is>
      </c>
      <c r="Q1" s="1" t="inlineStr">
        <is>
          <t>Rank</t>
        </is>
      </c>
    </row>
    <row r="2">
      <c r="A2" t="inlineStr">
        <is>
          <t>DETP_HH4/4 AI 3</t>
        </is>
      </c>
      <c r="B2" t="n">
        <v>0.8847413731436142</v>
      </c>
      <c r="C2" t="n">
        <v>0.8530681671939789</v>
      </c>
      <c r="D2" t="n">
        <v>0.9124301910453435</v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n">
        <v>1</v>
      </c>
      <c r="K2" t="n">
        <v>0.6896671608190642</v>
      </c>
      <c r="L2" t="n">
        <v>0.9999160854280748</v>
      </c>
      <c r="M2" t="n">
        <v>0.978905024849907</v>
      </c>
      <c r="N2" t="n">
        <v>1</v>
      </c>
      <c r="O2" t="n">
        <v>0.6989172416725139</v>
      </c>
      <c r="P2" t="n">
        <v>0.666801714178788</v>
      </c>
      <c r="Q2" t="n">
        <v>1</v>
      </c>
    </row>
    <row r="3">
      <c r="A3" t="inlineStr">
        <is>
          <t>NL25017</t>
        </is>
      </c>
      <c r="B3" t="n">
        <v>0.765929183671931</v>
      </c>
      <c r="C3" t="n">
        <v>0.7149661618997125</v>
      </c>
      <c r="D3" t="n">
        <v>0.8124304383549045</v>
      </c>
      <c r="E3" t="n">
        <v>3.04532</v>
      </c>
      <c r="F3" t="n">
        <v>2</v>
      </c>
      <c r="G3" t="n">
        <v>8</v>
      </c>
      <c r="H3" t="n">
        <v>1.349572561072657</v>
      </c>
      <c r="I3" t="n">
        <v>6</v>
      </c>
      <c r="J3" t="n">
        <v>1</v>
      </c>
      <c r="K3" t="n">
        <v>0.7184433127484753</v>
      </c>
      <c r="L3" t="n">
        <v>0.9443857229879358</v>
      </c>
      <c r="M3" t="n">
        <v>0.7416101087546147</v>
      </c>
      <c r="N3" t="n">
        <v>1</v>
      </c>
      <c r="O3" t="n">
        <v>0.03834207742630732</v>
      </c>
      <c r="P3" t="n">
        <v>1</v>
      </c>
      <c r="Q3" t="n">
        <v>2</v>
      </c>
    </row>
    <row r="4">
      <c r="A4" t="inlineStr">
        <is>
          <t>ATTP_4-41003001</t>
        </is>
      </c>
      <c r="B4" t="n">
        <v>0.7633831928894681</v>
      </c>
      <c r="C4" t="n">
        <v>0.7112209942448702</v>
      </c>
      <c r="D4" t="n">
        <v>0.8122380323157041</v>
      </c>
      <c r="E4" t="n">
        <v>3.0629</v>
      </c>
      <c r="F4" t="n">
        <v>2</v>
      </c>
      <c r="G4" t="n">
        <v>6</v>
      </c>
      <c r="H4" t="n">
        <v>0.9180978106934936</v>
      </c>
      <c r="I4" t="n">
        <v>4</v>
      </c>
      <c r="J4" t="n">
        <v>1</v>
      </c>
      <c r="K4" t="n">
        <v>0.5816106700656162</v>
      </c>
      <c r="L4" t="n">
        <v>0.986747603599038</v>
      </c>
      <c r="M4" t="n">
        <v>0.8965260508922803</v>
      </c>
      <c r="N4" t="n">
        <v>1</v>
      </c>
      <c r="O4" t="n">
        <v>0.1321531583798116</v>
      </c>
      <c r="P4" t="n">
        <v>0.666801714178788</v>
      </c>
      <c r="Q4" t="n">
        <v>3</v>
      </c>
    </row>
    <row r="5">
      <c r="A5" t="inlineStr">
        <is>
          <t>ATTP_9-HKA-Simmering</t>
        </is>
      </c>
      <c r="B5" t="n">
        <v>0.7478191066888935</v>
      </c>
      <c r="C5" t="n">
        <v>0.706783222228098</v>
      </c>
      <c r="D5" t="n">
        <v>0.785090573895868</v>
      </c>
      <c r="E5" t="n">
        <v>5.2756</v>
      </c>
      <c r="F5" t="n">
        <v>2</v>
      </c>
      <c r="G5" t="n">
        <v>12</v>
      </c>
      <c r="H5" t="n">
        <v>2.542692399799879</v>
      </c>
      <c r="I5" t="n">
        <v>10</v>
      </c>
      <c r="J5" t="n">
        <v>1</v>
      </c>
      <c r="K5" t="n">
        <v>0.809177192989755</v>
      </c>
      <c r="L5" t="n">
        <v>0.7407184342270892</v>
      </c>
      <c r="M5" t="n">
        <v>0.9121868416299078</v>
      </c>
      <c r="N5" t="n">
        <v>1</v>
      </c>
      <c r="O5" t="n">
        <v>0.7239814110573825</v>
      </c>
      <c r="P5" t="n">
        <v>0.3335679815942918</v>
      </c>
      <c r="Q5" t="n">
        <v>4</v>
      </c>
    </row>
    <row r="6">
      <c r="A6" t="inlineStr">
        <is>
          <t>PLMP0011</t>
        </is>
      </c>
      <c r="B6" t="n">
        <v>0.7465689069972145</v>
      </c>
      <c r="C6" t="n">
        <v>0.703854349435756</v>
      </c>
      <c r="D6" t="n">
        <v>0.7870745411416991</v>
      </c>
      <c r="E6" t="n">
        <v>5.37132</v>
      </c>
      <c r="F6" t="n">
        <v>4</v>
      </c>
      <c r="G6" t="n">
        <v>8</v>
      </c>
      <c r="H6" t="n">
        <v>1.241467461353689</v>
      </c>
      <c r="I6" t="n">
        <v>4</v>
      </c>
      <c r="J6" t="n">
        <v>1</v>
      </c>
      <c r="K6" t="n">
        <v>0.5187103430264492</v>
      </c>
      <c r="L6" t="n">
        <v>0.8440984302955368</v>
      </c>
      <c r="M6" t="n">
        <v>0.9678005499566003</v>
      </c>
      <c r="N6" t="n">
        <v>1</v>
      </c>
      <c r="O6" t="n">
        <v>0.2115964075310331</v>
      </c>
      <c r="P6" t="n">
        <v>0.7364269959049371</v>
      </c>
      <c r="Q6" t="n">
        <v>5</v>
      </c>
    </row>
    <row r="7">
      <c r="A7" t="inlineStr">
        <is>
          <t>DETP_NW1805</t>
        </is>
      </c>
      <c r="B7" t="n">
        <v>0.7392183725064259</v>
      </c>
      <c r="C7" t="n">
        <v>0.6893603584935714</v>
      </c>
      <c r="D7" t="n">
        <v>0.7868257466133334</v>
      </c>
      <c r="E7" t="n">
        <v>6.65062</v>
      </c>
      <c r="F7" t="n">
        <v>3</v>
      </c>
      <c r="G7" t="n">
        <v>12</v>
      </c>
      <c r="H7" t="n">
        <v>1.84490477141773</v>
      </c>
      <c r="I7" t="n">
        <v>9</v>
      </c>
      <c r="J7" t="n">
        <v>1</v>
      </c>
      <c r="K7" t="n">
        <v>0.6272233024245032</v>
      </c>
      <c r="L7" t="n">
        <v>0.9833884685632268</v>
      </c>
      <c r="M7" t="n">
        <v>0.8086735503829379</v>
      </c>
      <c r="N7" t="n">
        <v>1</v>
      </c>
      <c r="O7" t="n">
        <v>0.3233652262483543</v>
      </c>
      <c r="P7" t="n">
        <v>0.3335679815942918</v>
      </c>
      <c r="Q7" t="n">
        <v>6</v>
      </c>
    </row>
    <row r="8">
      <c r="A8" t="inlineStr">
        <is>
          <t>RO8IF_53</t>
        </is>
      </c>
      <c r="B8" t="n">
        <v>0.7360034528127077</v>
      </c>
      <c r="C8" t="n">
        <v>0.6991805578408513</v>
      </c>
      <c r="D8" t="n">
        <v>0.7724703562887285</v>
      </c>
      <c r="E8" t="n">
        <v>7.22652</v>
      </c>
      <c r="F8" t="n">
        <v>2</v>
      </c>
      <c r="G8" t="n">
        <v>16</v>
      </c>
      <c r="H8" t="n">
        <v>3.497491771198213</v>
      </c>
      <c r="I8" t="n">
        <v>14</v>
      </c>
      <c r="J8" t="n">
        <v>0.9999400000000001</v>
      </c>
      <c r="K8" t="n">
        <v>0.6727242397025937</v>
      </c>
      <c r="L8" t="n">
        <v>0.692012182795994</v>
      </c>
      <c r="M8" t="n">
        <v>0.9316247394637811</v>
      </c>
      <c r="N8" t="n">
        <v>0.4931596518229744</v>
      </c>
      <c r="O8" t="n">
        <v>0.9973309693473078</v>
      </c>
      <c r="P8" t="n">
        <v>0.666801714178788</v>
      </c>
      <c r="Q8" t="n">
        <v>7</v>
      </c>
    </row>
    <row r="9">
      <c r="A9" t="inlineStr">
        <is>
          <t>PLSL0090</t>
        </is>
      </c>
      <c r="B9" t="n">
        <v>0.7307546230436391</v>
      </c>
      <c r="C9" t="n">
        <v>0.6788851357062715</v>
      </c>
      <c r="D9" t="n">
        <v>0.7793023941046811</v>
      </c>
      <c r="E9" t="n">
        <v>8.10886</v>
      </c>
      <c r="F9" t="n">
        <v>5</v>
      </c>
      <c r="G9" t="n">
        <v>12</v>
      </c>
      <c r="H9" t="n">
        <v>1.777731560275827</v>
      </c>
      <c r="I9" t="n">
        <v>7</v>
      </c>
      <c r="J9" t="n">
        <v>1</v>
      </c>
      <c r="K9" t="n">
        <v>0.5535496777055969</v>
      </c>
      <c r="L9" t="n">
        <v>0.8986498697715842</v>
      </c>
      <c r="M9" t="n">
        <v>0.9535601440225481</v>
      </c>
      <c r="N9" t="n">
        <v>1</v>
      </c>
      <c r="O9" t="n">
        <v>0.05290376002523622</v>
      </c>
      <c r="P9" t="n">
        <v>0.7061714753184438</v>
      </c>
      <c r="Q9" t="n">
        <v>8</v>
      </c>
    </row>
    <row r="10">
      <c r="A10" t="inlineStr">
        <is>
          <t>ES2502970002010E</t>
        </is>
      </c>
      <c r="B10" t="n">
        <v>0.7276907469323862</v>
      </c>
      <c r="C10" t="n">
        <v>0.678112061463504</v>
      </c>
      <c r="D10" t="n">
        <v>0.7752585617458188</v>
      </c>
      <c r="E10" t="n">
        <v>8.39188</v>
      </c>
      <c r="F10" t="n">
        <v>4</v>
      </c>
      <c r="G10" t="n">
        <v>12</v>
      </c>
      <c r="H10" t="n">
        <v>2.033506839329555</v>
      </c>
      <c r="I10" t="n">
        <v>8</v>
      </c>
      <c r="J10" t="n">
        <v>1</v>
      </c>
      <c r="K10" t="n">
        <v>0.8740415299392118</v>
      </c>
      <c r="L10" t="n">
        <v>0.9982668405839604</v>
      </c>
      <c r="M10" t="n">
        <v>0.8196670707364624</v>
      </c>
      <c r="N10" t="n">
        <v>0.80222222222144</v>
      </c>
      <c r="O10" t="n">
        <v>0.1203071161608207</v>
      </c>
      <c r="P10" t="n">
        <v>0.6667662674155113</v>
      </c>
      <c r="Q10" t="n">
        <v>9</v>
      </c>
    </row>
    <row r="11">
      <c r="A11" t="inlineStr">
        <is>
          <t>PLMZ0011</t>
        </is>
      </c>
      <c r="B11" t="n">
        <v>0.7238267316997626</v>
      </c>
      <c r="C11" t="n">
        <v>0.6897561106387614</v>
      </c>
      <c r="D11" t="n">
        <v>0.7564513723786525</v>
      </c>
      <c r="E11" t="n">
        <v>9.38686</v>
      </c>
      <c r="F11" t="n">
        <v>3</v>
      </c>
      <c r="G11" t="n">
        <v>18</v>
      </c>
      <c r="H11" t="n">
        <v>2.803055358069573</v>
      </c>
      <c r="I11" t="n">
        <v>15</v>
      </c>
      <c r="J11" t="n">
        <v>0.9986</v>
      </c>
      <c r="K11" t="n">
        <v>0.5524188404272504</v>
      </c>
      <c r="L11" t="n">
        <v>0.5794287462957253</v>
      </c>
      <c r="M11" t="n">
        <v>0.9206631890597657</v>
      </c>
      <c r="N11" t="n">
        <v>1</v>
      </c>
      <c r="O11" t="n">
        <v>0.6579987404185873</v>
      </c>
      <c r="P11" t="n">
        <v>0.666801714178788</v>
      </c>
      <c r="Q11" t="n">
        <v>10</v>
      </c>
    </row>
    <row r="12">
      <c r="A12" t="inlineStr">
        <is>
          <t>DETP_NW2102</t>
        </is>
      </c>
      <c r="B12" t="n">
        <v>0.713731740374609</v>
      </c>
      <c r="C12" t="n">
        <v>0.6692535285745556</v>
      </c>
      <c r="D12" t="n">
        <v>0.7583696449719682</v>
      </c>
      <c r="E12" t="n">
        <v>10.35278</v>
      </c>
      <c r="F12" t="n">
        <v>5</v>
      </c>
      <c r="G12" t="n">
        <v>15</v>
      </c>
      <c r="H12" t="n">
        <v>1.698648366084222</v>
      </c>
      <c r="I12" t="n">
        <v>10</v>
      </c>
      <c r="J12" t="n">
        <v>1</v>
      </c>
      <c r="K12" t="n">
        <v>0.6359444247638885</v>
      </c>
      <c r="L12" t="n">
        <v>0.9997205337289083</v>
      </c>
      <c r="M12" t="n">
        <v>0.920483303812374</v>
      </c>
      <c r="N12" t="n">
        <v>0.4312048574029014</v>
      </c>
      <c r="O12" t="n">
        <v>0.2586148787615056</v>
      </c>
      <c r="P12" t="n">
        <v>0.8214387329866644</v>
      </c>
      <c r="Q12" t="n">
        <v>11</v>
      </c>
    </row>
    <row r="13">
      <c r="A13" t="inlineStr">
        <is>
          <t>NL32002</t>
        </is>
      </c>
      <c r="B13" t="n">
        <v>0.7101688179499349</v>
      </c>
      <c r="C13" t="n">
        <v>0.6595483890412213</v>
      </c>
      <c r="D13" t="n">
        <v>0.7592456063249203</v>
      </c>
      <c r="E13" t="n">
        <v>11.00968</v>
      </c>
      <c r="F13" t="n">
        <v>5</v>
      </c>
      <c r="G13" t="n">
        <v>16</v>
      </c>
      <c r="H13" t="n">
        <v>1.821819501926613</v>
      </c>
      <c r="I13" t="n">
        <v>11</v>
      </c>
      <c r="J13" t="n">
        <v>1</v>
      </c>
      <c r="K13" t="n">
        <v>0.6764980285078676</v>
      </c>
      <c r="L13" t="n">
        <v>1</v>
      </c>
      <c r="M13" t="n">
        <v>0.8917583777358914</v>
      </c>
      <c r="N13" t="n">
        <v>0.5486604608596019</v>
      </c>
      <c r="O13" t="n">
        <v>0.04852657491906785</v>
      </c>
      <c r="P13" t="n">
        <v>0.9284211832671042</v>
      </c>
      <c r="Q13" t="n">
        <v>12</v>
      </c>
    </row>
    <row r="14">
      <c r="A14" t="inlineStr">
        <is>
          <t>DETP_BW2225100000001</t>
        </is>
      </c>
      <c r="B14" t="n">
        <v>0.6896010507014493</v>
      </c>
      <c r="C14" t="n">
        <v>0.6421632474044597</v>
      </c>
      <c r="D14" t="n">
        <v>0.7367955165099461</v>
      </c>
      <c r="E14" t="n">
        <v>14.42486</v>
      </c>
      <c r="F14" t="n">
        <v>10</v>
      </c>
      <c r="G14" t="n">
        <v>21</v>
      </c>
      <c r="H14" t="n">
        <v>2.063723329421135</v>
      </c>
      <c r="I14" t="n">
        <v>11</v>
      </c>
      <c r="J14" t="n">
        <v>0.98938</v>
      </c>
      <c r="K14" t="n">
        <v>0.4274155124247336</v>
      </c>
      <c r="L14" t="n">
        <v>0.9768062998381561</v>
      </c>
      <c r="M14" t="n">
        <v>0.8249711460237167</v>
      </c>
      <c r="N14" t="n">
        <v>0.6824681579053357</v>
      </c>
      <c r="O14" t="n">
        <v>0.1355892185365562</v>
      </c>
      <c r="P14" t="n">
        <v>0.6667662674155113</v>
      </c>
      <c r="Q14" t="n">
        <v>13</v>
      </c>
    </row>
    <row r="15">
      <c r="A15" t="inlineStr">
        <is>
          <t>ES9081690001010E</t>
        </is>
      </c>
      <c r="B15" t="n">
        <v>0.6875856728269305</v>
      </c>
      <c r="C15" t="n">
        <v>0.6452455512521624</v>
      </c>
      <c r="D15" t="n">
        <v>0.7299124335576326</v>
      </c>
      <c r="E15" t="n">
        <v>15.02092</v>
      </c>
      <c r="F15" t="n">
        <v>12</v>
      </c>
      <c r="G15" t="n">
        <v>21</v>
      </c>
      <c r="H15" t="n">
        <v>2.099438580573094</v>
      </c>
      <c r="I15" t="n">
        <v>9</v>
      </c>
      <c r="J15" t="n">
        <v>0.99178</v>
      </c>
      <c r="K15" t="n">
        <v>0.4298627544591875</v>
      </c>
      <c r="L15" t="n">
        <v>0.9877842859498749</v>
      </c>
      <c r="M15" t="n">
        <v>0.8741477636389631</v>
      </c>
      <c r="N15" t="n">
        <v>0.5960325936469042</v>
      </c>
      <c r="O15" t="n">
        <v>0.332542264393739</v>
      </c>
      <c r="P15" t="n">
        <v>0.4486532310430957</v>
      </c>
      <c r="Q15" t="n">
        <v>14</v>
      </c>
    </row>
    <row r="16">
      <c r="A16" t="inlineStr">
        <is>
          <t>ES16010590063010E</t>
        </is>
      </c>
      <c r="B16" t="n">
        <v>0.6858930993219521</v>
      </c>
      <c r="C16" t="n">
        <v>0.6339944856224498</v>
      </c>
      <c r="D16" t="n">
        <v>0.7364137310667388</v>
      </c>
      <c r="E16" t="n">
        <v>15.52252</v>
      </c>
      <c r="F16" t="n">
        <v>11</v>
      </c>
      <c r="G16" t="n">
        <v>23</v>
      </c>
      <c r="H16" t="n">
        <v>2.302279924248774</v>
      </c>
      <c r="I16" t="n">
        <v>12</v>
      </c>
      <c r="J16" t="n">
        <v>0.97016</v>
      </c>
      <c r="K16" t="n">
        <v>0.6777104667408657</v>
      </c>
      <c r="L16" t="n">
        <v>0.9794963071909786</v>
      </c>
      <c r="M16" t="n">
        <v>0.9142803991848591</v>
      </c>
      <c r="N16" t="n">
        <v>0.7017451841309394</v>
      </c>
      <c r="O16" t="n">
        <v>0.02898681333574266</v>
      </c>
      <c r="P16" t="n">
        <v>0.6249792952297388</v>
      </c>
      <c r="Q16" t="n">
        <v>15</v>
      </c>
    </row>
    <row r="17">
      <c r="A17" t="inlineStr">
        <is>
          <t>DETP_BE03</t>
        </is>
      </c>
      <c r="B17" t="n">
        <v>0.6779764518214579</v>
      </c>
      <c r="C17" t="n">
        <v>0.634096558501182</v>
      </c>
      <c r="D17" t="n">
        <v>0.721059833452669</v>
      </c>
      <c r="E17" t="n">
        <v>17.65262</v>
      </c>
      <c r="F17" t="n">
        <v>11</v>
      </c>
      <c r="G17" t="n">
        <v>32</v>
      </c>
      <c r="H17" t="n">
        <v>4.478663543469622</v>
      </c>
      <c r="I17" t="n">
        <v>21</v>
      </c>
      <c r="J17" t="n">
        <v>0.76512</v>
      </c>
      <c r="K17" t="n">
        <v>0.5932044257887901</v>
      </c>
      <c r="L17" t="n">
        <v>0.64233682343568</v>
      </c>
      <c r="M17" t="n">
        <v>0.9345335617935032</v>
      </c>
      <c r="N17" t="n">
        <v>1</v>
      </c>
      <c r="O17" t="n">
        <v>0.2769521771698419</v>
      </c>
      <c r="P17" t="n">
        <v>0.666801714178788</v>
      </c>
      <c r="Q17" t="n">
        <v>16</v>
      </c>
    </row>
    <row r="18">
      <c r="A18" t="inlineStr">
        <is>
          <t>DETP_MV03.03.1 wbu1437</t>
        </is>
      </c>
      <c r="B18" t="n">
        <v>0.6774374420819351</v>
      </c>
      <c r="C18" t="n">
        <v>0.629154283496827</v>
      </c>
      <c r="D18" t="n">
        <v>0.7234848801005107</v>
      </c>
      <c r="E18" t="n">
        <v>17.93174</v>
      </c>
      <c r="F18" t="n">
        <v>11</v>
      </c>
      <c r="G18" t="n">
        <v>32</v>
      </c>
      <c r="H18" t="n">
        <v>4.334632691751612</v>
      </c>
      <c r="I18" t="n">
        <v>21</v>
      </c>
      <c r="J18" t="n">
        <v>0.7705</v>
      </c>
      <c r="K18" t="n">
        <v>0.8097169058645922</v>
      </c>
      <c r="L18" t="n">
        <v>0.674245670437655</v>
      </c>
      <c r="M18" t="n">
        <v>0.8780024487224649</v>
      </c>
      <c r="N18" t="n">
        <v>1</v>
      </c>
      <c r="O18" t="n">
        <v>0.07853785533109553</v>
      </c>
      <c r="P18" t="n">
        <v>0.8431133795640456</v>
      </c>
      <c r="Q18" t="n">
        <v>17</v>
      </c>
    </row>
    <row r="19">
      <c r="A19" t="inlineStr">
        <is>
          <t>CZ8119-713767-00845451-4/1U</t>
        </is>
      </c>
      <c r="B19" t="n">
        <v>0.6740606184244052</v>
      </c>
      <c r="C19" t="n">
        <v>0.6268905313528791</v>
      </c>
      <c r="D19" t="n">
        <v>0.7200724533342545</v>
      </c>
      <c r="E19" t="n">
        <v>18.19412</v>
      </c>
      <c r="F19" t="n">
        <v>12</v>
      </c>
      <c r="G19" t="n">
        <v>26</v>
      </c>
      <c r="H19" t="n">
        <v>3.128807668362676</v>
      </c>
      <c r="I19" t="n">
        <v>14</v>
      </c>
      <c r="J19" t="n">
        <v>0.76166</v>
      </c>
      <c r="K19" t="n">
        <v>0.6259234061789958</v>
      </c>
      <c r="L19" t="n">
        <v>0.9076450015564612</v>
      </c>
      <c r="M19" t="n">
        <v>0.861067641331949</v>
      </c>
      <c r="N19" t="n">
        <v>0.4503270282035702</v>
      </c>
      <c r="O19" t="n">
        <v>0.1105155815761035</v>
      </c>
      <c r="P19" t="n">
        <v>0.975690593608797</v>
      </c>
      <c r="Q19" t="n">
        <v>18</v>
      </c>
    </row>
    <row r="20">
      <c r="A20" t="inlineStr">
        <is>
          <t>BGWT56784_00_01</t>
        </is>
      </c>
      <c r="B20" t="n">
        <v>0.6672819140569941</v>
      </c>
      <c r="C20" t="n">
        <v>0.617282916417635</v>
      </c>
      <c r="D20" t="n">
        <v>0.715913138525302</v>
      </c>
      <c r="E20" t="n">
        <v>21.0448</v>
      </c>
      <c r="F20" t="n">
        <v>14</v>
      </c>
      <c r="G20" t="n">
        <v>31</v>
      </c>
      <c r="H20" t="n">
        <v>3.676312413275017</v>
      </c>
      <c r="I20" t="n">
        <v>17</v>
      </c>
      <c r="J20" t="n">
        <v>0.47778</v>
      </c>
      <c r="K20" t="n">
        <v>0.376187210162849</v>
      </c>
      <c r="L20" t="n">
        <v>0.9061681904769785</v>
      </c>
      <c r="M20" t="n">
        <v>0.8717543884228939</v>
      </c>
      <c r="N20" t="n">
        <v>0.4900997231124469</v>
      </c>
      <c r="O20" t="n">
        <v>0.04764263196925049</v>
      </c>
      <c r="P20" t="n">
        <v>1</v>
      </c>
      <c r="Q20" t="n">
        <v>19</v>
      </c>
    </row>
    <row r="21">
      <c r="A21" t="inlineStr">
        <is>
          <t>DETP_HB18-1</t>
        </is>
      </c>
      <c r="B21" t="n">
        <v>0.6668790208408135</v>
      </c>
      <c r="C21" t="n">
        <v>0.620739248933085</v>
      </c>
      <c r="D21" t="n">
        <v>0.7112107736459741</v>
      </c>
      <c r="E21" t="n">
        <v>20.7366</v>
      </c>
      <c r="F21" t="n">
        <v>15</v>
      </c>
      <c r="G21" t="n">
        <v>29</v>
      </c>
      <c r="H21" t="n">
        <v>3.108797265824632</v>
      </c>
      <c r="I21" t="n">
        <v>14</v>
      </c>
      <c r="J21" t="n">
        <v>0.50564</v>
      </c>
      <c r="K21" t="n">
        <v>0.6883933641876806</v>
      </c>
      <c r="L21" t="n">
        <v>0.9380358618384225</v>
      </c>
      <c r="M21" t="n">
        <v>0.8645545550436624</v>
      </c>
      <c r="N21" t="n">
        <v>0.7160572603930794</v>
      </c>
      <c r="O21" t="n">
        <v>0.2068146007721064</v>
      </c>
      <c r="P21" t="n">
        <v>0.3892520711514467</v>
      </c>
      <c r="Q21" t="n">
        <v>20</v>
      </c>
    </row>
    <row r="22">
      <c r="A22" t="inlineStr">
        <is>
          <t>DETP_ST151541000001</t>
        </is>
      </c>
      <c r="B22" t="n">
        <v>0.664012418937029</v>
      </c>
      <c r="C22" t="n">
        <v>0.6183861466337197</v>
      </c>
      <c r="D22" t="n">
        <v>0.7095097303505542</v>
      </c>
      <c r="E22" t="n">
        <v>21.819</v>
      </c>
      <c r="F22" t="n">
        <v>16</v>
      </c>
      <c r="G22" t="n">
        <v>29</v>
      </c>
      <c r="H22" t="n">
        <v>2.56451145444907</v>
      </c>
      <c r="I22" t="n">
        <v>13</v>
      </c>
      <c r="J22" t="n">
        <v>0.32168</v>
      </c>
      <c r="K22" t="n">
        <v>0.5606567748002738</v>
      </c>
      <c r="L22" t="n">
        <v>0.9545242485360583</v>
      </c>
      <c r="M22" t="n">
        <v>0.8847660779071321</v>
      </c>
      <c r="N22" t="n">
        <v>0.5939266642928707</v>
      </c>
      <c r="O22" t="n">
        <v>0.08378894054705313</v>
      </c>
      <c r="P22" t="n">
        <v>0.6457264140586119</v>
      </c>
      <c r="Q22" t="n">
        <v>21</v>
      </c>
    </row>
    <row r="23">
      <c r="A23" t="inlineStr">
        <is>
          <t>DETP_NW904</t>
        </is>
      </c>
      <c r="B23" t="n">
        <v>0.6637009825757898</v>
      </c>
      <c r="C23" t="n">
        <v>0.6125080552666365</v>
      </c>
      <c r="D23" t="n">
        <v>0.7139289284901295</v>
      </c>
      <c r="E23" t="n">
        <v>21.61776</v>
      </c>
      <c r="F23" t="n">
        <v>14</v>
      </c>
      <c r="G23" t="n">
        <v>29</v>
      </c>
      <c r="H23" t="n">
        <v>2.938151218436519</v>
      </c>
      <c r="I23" t="n">
        <v>15</v>
      </c>
      <c r="J23" t="n">
        <v>0.35598</v>
      </c>
      <c r="K23" t="n">
        <v>0.6341780534557709</v>
      </c>
      <c r="L23" t="n">
        <v>0.9849647595539459</v>
      </c>
      <c r="M23" t="n">
        <v>0.8267080461510246</v>
      </c>
      <c r="N23" t="n">
        <v>0.5652448241754967</v>
      </c>
      <c r="O23" t="n">
        <v>0.06436383630093691</v>
      </c>
      <c r="P23" t="n">
        <v>0.666801714178788</v>
      </c>
      <c r="Q23" t="n">
        <v>22</v>
      </c>
    </row>
    <row r="24">
      <c r="A24" t="inlineStr">
        <is>
          <t>PLWL0011</t>
        </is>
      </c>
      <c r="B24" t="n">
        <v>0.6625904291734788</v>
      </c>
      <c r="C24" t="n">
        <v>0.6196382502861756</v>
      </c>
      <c r="D24" t="n">
        <v>0.7046758348044109</v>
      </c>
      <c r="E24" t="n">
        <v>23.5087</v>
      </c>
      <c r="F24" t="n">
        <v>12</v>
      </c>
      <c r="G24" t="n">
        <v>43</v>
      </c>
      <c r="H24" t="n">
        <v>6.68029672320013</v>
      </c>
      <c r="I24" t="n">
        <v>31</v>
      </c>
      <c r="J24" t="n">
        <v>0.40188</v>
      </c>
      <c r="K24" t="n">
        <v>0.5887244062942076</v>
      </c>
      <c r="L24" t="n">
        <v>0.539051449368643</v>
      </c>
      <c r="M24" t="n">
        <v>0.9822588926908183</v>
      </c>
      <c r="N24" t="n">
        <v>1</v>
      </c>
      <c r="O24" t="n">
        <v>0.3536335134499544</v>
      </c>
      <c r="P24" t="n">
        <v>0.666801714178788</v>
      </c>
      <c r="Q24" t="n">
        <v>23</v>
      </c>
    </row>
    <row r="25">
      <c r="A25" t="inlineStr">
        <is>
          <t>RO2GL_51</t>
        </is>
      </c>
      <c r="B25" t="n">
        <v>0.6590213912695355</v>
      </c>
      <c r="C25" t="n">
        <v>0.6043582412324154</v>
      </c>
      <c r="D25" t="n">
        <v>0.7128230290250945</v>
      </c>
      <c r="E25" t="n">
        <v>23.6246</v>
      </c>
      <c r="F25" t="n">
        <v>15</v>
      </c>
      <c r="G25" t="n">
        <v>32</v>
      </c>
      <c r="H25" t="n">
        <v>3.472134046951347</v>
      </c>
      <c r="I25" t="n">
        <v>17</v>
      </c>
      <c r="J25" t="n">
        <v>0.19282</v>
      </c>
      <c r="K25" t="n">
        <v>0.8416584228520803</v>
      </c>
      <c r="L25" t="n">
        <v>0.9934885594641135</v>
      </c>
      <c r="M25" t="n">
        <v>0.8772262085105361</v>
      </c>
      <c r="N25" t="n">
        <v>0.4940715490292191</v>
      </c>
      <c r="O25" t="n">
        <v>0.0302817059043874</v>
      </c>
      <c r="P25" t="n">
        <v>0.666801714178788</v>
      </c>
      <c r="Q25" t="n">
        <v>24</v>
      </c>
    </row>
    <row r="26">
      <c r="A26" t="inlineStr">
        <is>
          <t>DETP_BW2125100000014</t>
        </is>
      </c>
      <c r="B26" t="n">
        <v>0.6563095409790303</v>
      </c>
      <c r="C26" t="n">
        <v>0.6065951247013519</v>
      </c>
      <c r="D26" t="n">
        <v>0.7052346157427639</v>
      </c>
      <c r="E26" t="n">
        <v>25.58412</v>
      </c>
      <c r="F26" t="n">
        <v>16</v>
      </c>
      <c r="G26" t="n">
        <v>41</v>
      </c>
      <c r="H26" t="n">
        <v>5.508786057345196</v>
      </c>
      <c r="I26" t="n">
        <v>25</v>
      </c>
      <c r="J26" t="n">
        <v>0.21406</v>
      </c>
      <c r="K26" t="n">
        <v>0.4254189954953501</v>
      </c>
      <c r="L26" t="n">
        <v>0.7484843300130766</v>
      </c>
      <c r="M26" t="n">
        <v>0.8917365032013922</v>
      </c>
      <c r="N26" t="n">
        <v>1</v>
      </c>
      <c r="O26" t="n">
        <v>0.1744394270288105</v>
      </c>
      <c r="P26" t="n">
        <v>0.4682924078767986</v>
      </c>
      <c r="Q26" t="n">
        <v>25</v>
      </c>
    </row>
    <row r="27">
      <c r="A27" t="inlineStr">
        <is>
          <t>ATTP_6-M3631054R0</t>
        </is>
      </c>
      <c r="B27" t="n">
        <v>0.6515097467893305</v>
      </c>
      <c r="C27" t="n">
        <v>0.5988203017393424</v>
      </c>
      <c r="D27" t="n">
        <v>0.7032779170319956</v>
      </c>
      <c r="E27" t="n">
        <v>26.56674</v>
      </c>
      <c r="F27" t="n">
        <v>20</v>
      </c>
      <c r="G27" t="n">
        <v>34</v>
      </c>
      <c r="H27" t="n">
        <v>2.790223247770725</v>
      </c>
      <c r="I27" t="n">
        <v>14</v>
      </c>
      <c r="J27" t="n">
        <v>0.01522</v>
      </c>
      <c r="K27" t="n">
        <v>0.4030563595151762</v>
      </c>
      <c r="L27" t="n">
        <v>0.9583617995083268</v>
      </c>
      <c r="M27" t="n">
        <v>0.9570134911315996</v>
      </c>
      <c r="N27" t="n">
        <v>0.5109374296009669</v>
      </c>
      <c r="O27" t="n">
        <v>0.05123762350544904</v>
      </c>
      <c r="P27" t="n">
        <v>0.666801714178788</v>
      </c>
      <c r="Q27" t="n">
        <v>26</v>
      </c>
    </row>
    <row r="28">
      <c r="A28" t="inlineStr">
        <is>
          <t>IT05000000000043</t>
        </is>
      </c>
      <c r="B28" t="n">
        <v>0.6511824186017513</v>
      </c>
      <c r="C28" t="n">
        <v>0.6194892533305053</v>
      </c>
      <c r="D28" t="n">
        <v>0.683566425363917</v>
      </c>
      <c r="E28" t="n">
        <v>27.27146</v>
      </c>
      <c r="F28" t="n">
        <v>14</v>
      </c>
      <c r="G28" t="n">
        <v>46</v>
      </c>
      <c r="H28" t="n">
        <v>7.026823568896565</v>
      </c>
      <c r="I28" t="n">
        <v>32</v>
      </c>
      <c r="J28" t="n">
        <v>0.1901</v>
      </c>
      <c r="K28" t="n">
        <v>0</v>
      </c>
      <c r="L28" t="n">
        <v>0.712103154253877</v>
      </c>
      <c r="M28" t="n">
        <v>0.953906493225545</v>
      </c>
      <c r="N28" t="n">
        <v>0.4931596518229744</v>
      </c>
      <c r="O28" t="n">
        <v>0.5846840406373092</v>
      </c>
      <c r="P28" t="n">
        <v>0.6667662674155113</v>
      </c>
      <c r="Q28" t="n">
        <v>27</v>
      </c>
    </row>
    <row r="29">
      <c r="A29" t="inlineStr">
        <is>
          <t>DETP_NW906</t>
        </is>
      </c>
      <c r="B29" t="n">
        <v>0.6470060158938711</v>
      </c>
      <c r="C29" t="n">
        <v>0.5956515760212083</v>
      </c>
      <c r="D29" t="n">
        <v>0.6974895021346345</v>
      </c>
      <c r="E29" t="n">
        <v>29.04266</v>
      </c>
      <c r="F29" t="n">
        <v>22</v>
      </c>
      <c r="G29" t="n">
        <v>38</v>
      </c>
      <c r="H29" t="n">
        <v>2.948124848848985</v>
      </c>
      <c r="I29" t="n">
        <v>16</v>
      </c>
      <c r="J29" t="n">
        <v>0.00044</v>
      </c>
      <c r="K29" t="n">
        <v>0.6335648294125654</v>
      </c>
      <c r="L29" t="n">
        <v>0.9374507811268885</v>
      </c>
      <c r="M29" t="n">
        <v>0.9618652990037743</v>
      </c>
      <c r="N29" t="n">
        <v>0.4612277006451336</v>
      </c>
      <c r="O29" t="n">
        <v>0.07731390579831611</v>
      </c>
      <c r="P29" t="n">
        <v>0.666801714178788</v>
      </c>
      <c r="Q29" t="n">
        <v>28</v>
      </c>
    </row>
    <row r="30">
      <c r="A30" t="inlineStr">
        <is>
          <t>DETP_HE064140000101</t>
        </is>
      </c>
      <c r="B30" t="n">
        <v>0.6468235282938051</v>
      </c>
      <c r="C30" t="n">
        <v>0.5925275691365769</v>
      </c>
      <c r="D30" t="n">
        <v>0.7003644719574554</v>
      </c>
      <c r="E30" t="n">
        <v>29.22714</v>
      </c>
      <c r="F30" t="n">
        <v>21</v>
      </c>
      <c r="G30" t="n">
        <v>39</v>
      </c>
      <c r="H30" t="n">
        <v>3.24332351460627</v>
      </c>
      <c r="I30" t="n">
        <v>18</v>
      </c>
      <c r="J30" t="n">
        <v>0.0008</v>
      </c>
      <c r="K30" t="n">
        <v>0.4423159733050654</v>
      </c>
      <c r="L30" t="n">
        <v>0.9747846704786453</v>
      </c>
      <c r="M30" t="n">
        <v>0.9442829033602249</v>
      </c>
      <c r="N30" t="n">
        <v>0.475383489577276</v>
      </c>
      <c r="O30" t="n">
        <v>0.03328366950724134</v>
      </c>
      <c r="P30" t="n">
        <v>0.666801714178788</v>
      </c>
      <c r="Q30" t="n">
        <v>29</v>
      </c>
    </row>
    <row r="31">
      <c r="A31" t="inlineStr">
        <is>
          <t>DETP_NW905</t>
        </is>
      </c>
      <c r="B31" t="n">
        <v>0.6467604148412762</v>
      </c>
      <c r="C31" t="n">
        <v>0.5993458000001478</v>
      </c>
      <c r="D31" t="n">
        <v>0.6938403411712479</v>
      </c>
      <c r="E31" t="n">
        <v>28.72382</v>
      </c>
      <c r="F31" t="n">
        <v>18</v>
      </c>
      <c r="G31" t="n">
        <v>41</v>
      </c>
      <c r="H31" t="n">
        <v>4.548826728684957</v>
      </c>
      <c r="I31" t="n">
        <v>23</v>
      </c>
      <c r="J31" t="n">
        <v>0.03694</v>
      </c>
      <c r="K31" t="n">
        <v>0.6347086448840715</v>
      </c>
      <c r="L31" t="n">
        <v>0.9628122208954503</v>
      </c>
      <c r="M31" t="n">
        <v>0.949016846610252</v>
      </c>
      <c r="N31" t="n">
        <v>0.4578715240690379</v>
      </c>
      <c r="O31" t="n">
        <v>0.30694453812611</v>
      </c>
      <c r="P31" t="n">
        <v>0.3335679815942918</v>
      </c>
      <c r="Q31" t="n">
        <v>30</v>
      </c>
    </row>
    <row r="32">
      <c r="A32" t="inlineStr">
        <is>
          <t>ATTP_6-M3489301R0</t>
        </is>
      </c>
      <c r="B32" t="n">
        <v>0.6421076254109338</v>
      </c>
      <c r="C32" t="n">
        <v>0.5821733009862429</v>
      </c>
      <c r="D32" t="n">
        <v>0.6993286072549909</v>
      </c>
      <c r="E32" t="n">
        <v>31.183</v>
      </c>
      <c r="F32" t="n">
        <v>18</v>
      </c>
      <c r="G32" t="n">
        <v>50</v>
      </c>
      <c r="H32" t="n">
        <v>6.514963622307496</v>
      </c>
      <c r="I32" t="n">
        <v>32</v>
      </c>
      <c r="J32" t="n">
        <v>0.03196</v>
      </c>
      <c r="K32" t="n">
        <v>0.3483157048960569</v>
      </c>
      <c r="L32" t="n">
        <v>0.9101639999060155</v>
      </c>
      <c r="M32" t="n">
        <v>0.6960875032487841</v>
      </c>
      <c r="N32" t="n">
        <v>1</v>
      </c>
      <c r="O32" t="n">
        <v>0.0448342358535748</v>
      </c>
      <c r="P32" t="n">
        <v>0.3335679815942918</v>
      </c>
      <c r="Q32" t="n">
        <v>31</v>
      </c>
    </row>
    <row r="33">
      <c r="A33" t="inlineStr">
        <is>
          <t>DETP_BYM-K0001</t>
        </is>
      </c>
      <c r="B33" t="n">
        <v>0.6382053429577605</v>
      </c>
      <c r="C33" t="n">
        <v>0.598741067892498</v>
      </c>
      <c r="D33" t="n">
        <v>0.6779360443282044</v>
      </c>
      <c r="E33" t="n">
        <v>32.79696</v>
      </c>
      <c r="F33" t="n">
        <v>21</v>
      </c>
      <c r="G33" t="n">
        <v>47</v>
      </c>
      <c r="H33" t="n">
        <v>5.824157858300217</v>
      </c>
      <c r="I33" t="n">
        <v>26</v>
      </c>
      <c r="J33" t="n">
        <v>0.00456</v>
      </c>
      <c r="K33" t="n">
        <v>0.3520019603913454</v>
      </c>
      <c r="L33" t="n">
        <v>0.7048491986288012</v>
      </c>
      <c r="M33" t="n">
        <v>0.8012455817898143</v>
      </c>
      <c r="N33" t="n">
        <v>0.612373620505247</v>
      </c>
      <c r="O33" t="n">
        <v>0.2068146007721064</v>
      </c>
      <c r="P33" t="n">
        <v>0.9772326416014447</v>
      </c>
      <c r="Q33" t="n">
        <v>32</v>
      </c>
    </row>
    <row r="34">
      <c r="A34" t="inlineStr">
        <is>
          <t>IT03160128000457</t>
        </is>
      </c>
      <c r="B34" t="n">
        <v>0.6371545541581433</v>
      </c>
      <c r="C34" t="n">
        <v>0.5955705210078169</v>
      </c>
      <c r="D34" t="n">
        <v>0.6784686523023455</v>
      </c>
      <c r="E34" t="n">
        <v>33.09432</v>
      </c>
      <c r="F34" t="n">
        <v>22</v>
      </c>
      <c r="G34" t="n">
        <v>46</v>
      </c>
      <c r="H34" t="n">
        <v>4.719468586355959</v>
      </c>
      <c r="I34" t="n">
        <v>24</v>
      </c>
      <c r="J34" t="n">
        <v>0.0012</v>
      </c>
      <c r="K34" t="n">
        <v>0.0192023402662399</v>
      </c>
      <c r="L34" t="n">
        <v>0.8404680181541671</v>
      </c>
      <c r="M34" t="n">
        <v>0.8722367747923873</v>
      </c>
      <c r="N34" t="n">
        <v>0.6171599224718652</v>
      </c>
      <c r="O34" t="n">
        <v>0.2311667579869739</v>
      </c>
      <c r="P34" t="n">
        <v>0.6246531589068393</v>
      </c>
      <c r="Q34" t="n">
        <v>33</v>
      </c>
    </row>
    <row r="35">
      <c r="A35" t="inlineStr">
        <is>
          <t>ES16200690005010E</t>
        </is>
      </c>
      <c r="B35" t="n">
        <v>0.6362039241622873</v>
      </c>
      <c r="C35" t="n">
        <v>0.5851489439915484</v>
      </c>
      <c r="D35" t="n">
        <v>0.6865573446880667</v>
      </c>
      <c r="E35" t="n">
        <v>33.79742</v>
      </c>
      <c r="F35" t="n">
        <v>26</v>
      </c>
      <c r="G35" t="n">
        <v>46</v>
      </c>
      <c r="H35" t="n">
        <v>3.686448337302461</v>
      </c>
      <c r="I35" t="n">
        <v>20</v>
      </c>
      <c r="J35" t="n">
        <v>0</v>
      </c>
      <c r="K35" t="n">
        <v>0.7295624431468024</v>
      </c>
      <c r="L35" t="n">
        <v>0.952155032081765</v>
      </c>
      <c r="M35" t="n">
        <v>0.7943241854351619</v>
      </c>
      <c r="N35" t="n">
        <v>0.4931596518229744</v>
      </c>
      <c r="O35" t="n">
        <v>0.05401534077675012</v>
      </c>
      <c r="P35" t="n">
        <v>0.666801714178788</v>
      </c>
      <c r="Q35" t="n">
        <v>34</v>
      </c>
    </row>
    <row r="36">
      <c r="A36" t="inlineStr">
        <is>
          <t>PLMP0016</t>
        </is>
      </c>
      <c r="B36" t="n">
        <v>0.6341987989256589</v>
      </c>
      <c r="C36" t="n">
        <v>0.5862561077491322</v>
      </c>
      <c r="D36" t="n">
        <v>0.681329763677411</v>
      </c>
      <c r="E36" t="n">
        <v>34.73714</v>
      </c>
      <c r="F36" t="n">
        <v>28</v>
      </c>
      <c r="G36" t="n">
        <v>45</v>
      </c>
      <c r="H36" t="n">
        <v>3.113269121101016</v>
      </c>
      <c r="I36" t="n">
        <v>17</v>
      </c>
      <c r="J36" t="n">
        <v>0</v>
      </c>
      <c r="K36" t="n">
        <v>0.5176555847345249</v>
      </c>
      <c r="L36" t="n">
        <v>0.9078606481837302</v>
      </c>
      <c r="M36" t="n">
        <v>0.8525579480827926</v>
      </c>
      <c r="N36" t="n">
        <v>0.5380650132504383</v>
      </c>
      <c r="O36" t="n">
        <v>0.07395568822393775</v>
      </c>
      <c r="P36" t="n">
        <v>0.666801714178788</v>
      </c>
      <c r="Q36" t="n">
        <v>35</v>
      </c>
    </row>
    <row r="37">
      <c r="A37" t="inlineStr">
        <is>
          <t>DETP_NW1502</t>
        </is>
      </c>
      <c r="B37" t="n">
        <v>0.6315636788782167</v>
      </c>
      <c r="C37" t="n">
        <v>0.5860842480947894</v>
      </c>
      <c r="D37" t="n">
        <v>0.6766078900891895</v>
      </c>
      <c r="E37" t="n">
        <v>35.67974</v>
      </c>
      <c r="F37" t="n">
        <v>25</v>
      </c>
      <c r="G37" t="n">
        <v>49</v>
      </c>
      <c r="H37" t="n">
        <v>4.575623840789385</v>
      </c>
      <c r="I37" t="n">
        <v>24</v>
      </c>
      <c r="J37" t="n">
        <v>0</v>
      </c>
      <c r="K37" t="n">
        <v>0.6379863562440929</v>
      </c>
      <c r="L37" t="n">
        <v>0.9282727989081094</v>
      </c>
      <c r="M37" t="n">
        <v>0.9180397633429138</v>
      </c>
      <c r="N37" t="n">
        <v>0.4706753650570303</v>
      </c>
      <c r="O37" t="n">
        <v>0.2948750733543576</v>
      </c>
      <c r="P37" t="n">
        <v>0.3335679815942918</v>
      </c>
      <c r="Q37" t="n">
        <v>36</v>
      </c>
    </row>
    <row r="38">
      <c r="A38" t="inlineStr">
        <is>
          <t>DETP_RP102380095</t>
        </is>
      </c>
      <c r="B38" t="n">
        <v>0.6277364967549105</v>
      </c>
      <c r="C38" t="n">
        <v>0.5775573495203681</v>
      </c>
      <c r="D38" t="n">
        <v>0.6776284326575975</v>
      </c>
      <c r="E38" t="n">
        <v>37.61234</v>
      </c>
      <c r="F38" t="n">
        <v>29</v>
      </c>
      <c r="G38" t="n">
        <v>51</v>
      </c>
      <c r="H38" t="n">
        <v>4.020101954478201</v>
      </c>
      <c r="I38" t="n">
        <v>22</v>
      </c>
      <c r="J38" t="n">
        <v>0</v>
      </c>
      <c r="K38" t="n">
        <v>0.4403095350982644</v>
      </c>
      <c r="L38" t="n">
        <v>0.9427929570347425</v>
      </c>
      <c r="M38" t="n">
        <v>0.9184055886945856</v>
      </c>
      <c r="N38" t="n">
        <v>0.5464929851561449</v>
      </c>
      <c r="O38" t="n">
        <v>0.05141376680361547</v>
      </c>
      <c r="P38" t="n">
        <v>0.5206202417953707</v>
      </c>
      <c r="Q38" t="n">
        <v>37</v>
      </c>
    </row>
    <row r="39">
      <c r="A39" t="inlineStr">
        <is>
          <t>DETP_BYDON-K0001</t>
        </is>
      </c>
      <c r="B39" t="n">
        <v>0.6200502311010677</v>
      </c>
      <c r="C39" t="n">
        <v>0.5761652513230529</v>
      </c>
      <c r="D39" t="n">
        <v>0.663649995626257</v>
      </c>
      <c r="E39" t="n">
        <v>41.2112</v>
      </c>
      <c r="F39" t="n">
        <v>33</v>
      </c>
      <c r="G39" t="n">
        <v>53</v>
      </c>
      <c r="H39" t="n">
        <v>3.85906653998045</v>
      </c>
      <c r="I39" t="n">
        <v>20</v>
      </c>
      <c r="J39" t="n">
        <v>0</v>
      </c>
      <c r="K39" t="n">
        <v>0.4299427173284962</v>
      </c>
      <c r="L39" t="n">
        <v>0.8330066053797062</v>
      </c>
      <c r="M39" t="n">
        <v>0.9146103813194942</v>
      </c>
      <c r="N39" t="n">
        <v>0.4811478343423931</v>
      </c>
      <c r="O39" t="n">
        <v>0.1032140447932074</v>
      </c>
      <c r="P39" t="n">
        <v>0.7439335990667511</v>
      </c>
      <c r="Q39" t="n">
        <v>38</v>
      </c>
    </row>
    <row r="40">
      <c r="A40" t="inlineStr">
        <is>
          <t>FR037635102000</t>
        </is>
      </c>
      <c r="B40" t="n">
        <v>0.6192788771834491</v>
      </c>
      <c r="C40" t="n">
        <v>0.561430317321612</v>
      </c>
      <c r="D40" t="n">
        <v>0.675938145515566</v>
      </c>
      <c r="E40" t="n">
        <v>41.54572</v>
      </c>
      <c r="F40" t="n">
        <v>28</v>
      </c>
      <c r="G40" t="n">
        <v>61</v>
      </c>
      <c r="H40" t="n">
        <v>6.417497150883457</v>
      </c>
      <c r="I40" t="n">
        <v>33</v>
      </c>
      <c r="J40" t="n">
        <v>0</v>
      </c>
      <c r="K40" t="n">
        <v>0.990090878126804</v>
      </c>
      <c r="L40" t="n">
        <v>0.9564238730516874</v>
      </c>
      <c r="M40" t="n">
        <v>0.9858167553957309</v>
      </c>
      <c r="N40" t="n">
        <v>0.5304468929240965</v>
      </c>
      <c r="O40" t="n">
        <v>0</v>
      </c>
      <c r="P40" t="n">
        <v>0.3578623466960993</v>
      </c>
      <c r="Q40" t="n">
        <v>39</v>
      </c>
    </row>
    <row r="41">
      <c r="A41" t="inlineStr">
        <is>
          <t>IT03160128000456</t>
        </is>
      </c>
      <c r="B41" t="n">
        <v>0.6190150458708559</v>
      </c>
      <c r="C41" t="n">
        <v>0.5742591605312458</v>
      </c>
      <c r="D41" t="n">
        <v>0.6624068906448995</v>
      </c>
      <c r="E41" t="n">
        <v>41.88272</v>
      </c>
      <c r="F41" t="n">
        <v>30</v>
      </c>
      <c r="G41" t="n">
        <v>58</v>
      </c>
      <c r="H41" t="n">
        <v>5.397892681555617</v>
      </c>
      <c r="I41" t="n">
        <v>28</v>
      </c>
      <c r="J41" t="n">
        <v>0</v>
      </c>
      <c r="K41" t="n">
        <v>0.01104418107666334</v>
      </c>
      <c r="L41" t="n">
        <v>0.8233541097768341</v>
      </c>
      <c r="M41" t="n">
        <v>0.9880949722101967</v>
      </c>
      <c r="N41" t="n">
        <v>0.6545052766894609</v>
      </c>
      <c r="O41" t="n">
        <v>0.2851388622080219</v>
      </c>
      <c r="P41" t="n">
        <v>0.3335679815942918</v>
      </c>
      <c r="Q41" t="n">
        <v>40</v>
      </c>
    </row>
    <row r="42">
      <c r="A42" t="inlineStr">
        <is>
          <t>UKENNE_NU_TP000012</t>
        </is>
      </c>
      <c r="B42" t="n">
        <v>0.6172681133230598</v>
      </c>
      <c r="C42" t="n">
        <v>0.5495317740568684</v>
      </c>
      <c r="D42" t="n">
        <v>0.6833378693713349</v>
      </c>
      <c r="E42" t="n">
        <v>42.92478</v>
      </c>
      <c r="F42" t="n">
        <v>22</v>
      </c>
      <c r="G42" t="n">
        <v>71</v>
      </c>
      <c r="H42" t="n">
        <v>10.23974813906607</v>
      </c>
      <c r="I42" t="n">
        <v>49</v>
      </c>
      <c r="J42" t="n">
        <v>0.00138</v>
      </c>
      <c r="K42" t="n">
        <v>0.8819022899986991</v>
      </c>
      <c r="L42" t="n">
        <v>0.9679131437678077</v>
      </c>
      <c r="M42" t="n">
        <v>0.9119438449626247</v>
      </c>
      <c r="N42" t="n">
        <v>0</v>
      </c>
      <c r="O42" t="n">
        <v>0.04880317996777406</v>
      </c>
      <c r="P42" t="n">
        <v>1</v>
      </c>
      <c r="Q42" t="n">
        <v>41</v>
      </c>
    </row>
    <row r="43">
      <c r="A43" t="inlineStr">
        <is>
          <t>UKENNE_YW_TP000098</t>
        </is>
      </c>
      <c r="B43" t="n">
        <v>0.6168055270052951</v>
      </c>
      <c r="C43" t="n">
        <v>0.5644347925244289</v>
      </c>
      <c r="D43" t="n">
        <v>0.6678053837137548</v>
      </c>
      <c r="E43" t="n">
        <v>42.95226</v>
      </c>
      <c r="F43" t="n">
        <v>33</v>
      </c>
      <c r="G43" t="n">
        <v>58</v>
      </c>
      <c r="H43" t="n">
        <v>4.675949196943945</v>
      </c>
      <c r="I43" t="n">
        <v>25</v>
      </c>
      <c r="J43" t="n">
        <v>0</v>
      </c>
      <c r="K43" t="n">
        <v>0.8194655762736228</v>
      </c>
      <c r="L43" t="n">
        <v>0.9170762377770855</v>
      </c>
      <c r="M43" t="n">
        <v>0.9857997003924495</v>
      </c>
      <c r="N43" t="n">
        <v>0.5319479094976073</v>
      </c>
      <c r="O43" t="n">
        <v>0.1027520430392346</v>
      </c>
      <c r="P43" t="n">
        <v>0.3335679815942918</v>
      </c>
      <c r="Q43" t="n">
        <v>42</v>
      </c>
    </row>
    <row r="44">
      <c r="A44" t="inlineStr">
        <is>
          <t>FIJVP_O000000000036</t>
        </is>
      </c>
      <c r="B44" t="n">
        <v>0.6152644027477582</v>
      </c>
      <c r="C44" t="n">
        <v>0.5557086971714832</v>
      </c>
      <c r="D44" t="n">
        <v>0.6732527182128295</v>
      </c>
      <c r="E44" t="n">
        <v>43.02126</v>
      </c>
      <c r="F44" t="n">
        <v>23</v>
      </c>
      <c r="G44" t="n">
        <v>72</v>
      </c>
      <c r="H44" t="n">
        <v>8.975979501558864</v>
      </c>
      <c r="I44" t="n">
        <v>49</v>
      </c>
      <c r="J44" t="n">
        <v>0.00042</v>
      </c>
      <c r="K44" t="n">
        <v>0.8997682673387009</v>
      </c>
      <c r="L44" t="n">
        <v>0.7085294482484465</v>
      </c>
      <c r="M44" t="n">
        <v>0.9864305682233049</v>
      </c>
      <c r="N44" t="n">
        <v>1</v>
      </c>
      <c r="O44" t="n">
        <v>0</v>
      </c>
      <c r="P44" t="n">
        <v>0.3332337325844886</v>
      </c>
      <c r="Q44" t="n">
        <v>43</v>
      </c>
    </row>
    <row r="45">
      <c r="A45" t="inlineStr">
        <is>
          <t>PLMP0020</t>
        </is>
      </c>
      <c r="B45" t="n">
        <v>0.6103162179890944</v>
      </c>
      <c r="C45" t="n">
        <v>0.5675712648102967</v>
      </c>
      <c r="D45" t="n">
        <v>0.6530237934638372</v>
      </c>
      <c r="E45" t="n">
        <v>45.40184</v>
      </c>
      <c r="F45" t="n">
        <v>32</v>
      </c>
      <c r="G45" t="n">
        <v>60</v>
      </c>
      <c r="H45" t="n">
        <v>5.701375677360796</v>
      </c>
      <c r="I45" t="n">
        <v>28</v>
      </c>
      <c r="J45" t="n">
        <v>0</v>
      </c>
      <c r="K45" t="n">
        <v>0.5083946672493216</v>
      </c>
      <c r="L45" t="n">
        <v>0.6898297277623621</v>
      </c>
      <c r="M45" t="n">
        <v>0.9287216869158063</v>
      </c>
      <c r="N45" t="n">
        <v>0.5268745658795514</v>
      </c>
      <c r="O45" t="n">
        <v>0.1036482070327211</v>
      </c>
      <c r="P45" t="n">
        <v>0.9247923843739224</v>
      </c>
      <c r="Q45" t="n">
        <v>44</v>
      </c>
    </row>
    <row r="46">
      <c r="A46" t="inlineStr">
        <is>
          <t>DETP_BB239</t>
        </is>
      </c>
      <c r="B46" t="n">
        <v>0.6096055930879668</v>
      </c>
      <c r="C46" t="n">
        <v>0.5579244566225146</v>
      </c>
      <c r="D46" t="n">
        <v>0.660051340451054</v>
      </c>
      <c r="E46" t="n">
        <v>45.9506</v>
      </c>
      <c r="F46" t="n">
        <v>28</v>
      </c>
      <c r="G46" t="n">
        <v>71</v>
      </c>
      <c r="H46" t="n">
        <v>8.202041187412028</v>
      </c>
      <c r="I46" t="n">
        <v>43</v>
      </c>
      <c r="J46" t="n">
        <v>0</v>
      </c>
      <c r="K46" t="n">
        <v>0.5909545409550557</v>
      </c>
      <c r="L46" t="n">
        <v>0.6310844280069779</v>
      </c>
      <c r="M46" t="n">
        <v>0.7743930268436836</v>
      </c>
      <c r="N46" t="n">
        <v>1</v>
      </c>
      <c r="O46" t="n">
        <v>0.02991665143796894</v>
      </c>
      <c r="P46" t="n">
        <v>0.666801714178788</v>
      </c>
      <c r="Q46" t="n">
        <v>45</v>
      </c>
    </row>
    <row r="47">
      <c r="A47" t="inlineStr">
        <is>
          <t>NL25021</t>
        </is>
      </c>
      <c r="B47" t="n">
        <v>0.6060463759992822</v>
      </c>
      <c r="C47" t="n">
        <v>0.5452128854239722</v>
      </c>
      <c r="D47" t="n">
        <v>0.6670275309647229</v>
      </c>
      <c r="E47" t="n">
        <v>48.65964</v>
      </c>
      <c r="F47" t="n">
        <v>32</v>
      </c>
      <c r="G47" t="n">
        <v>72</v>
      </c>
      <c r="H47" t="n">
        <v>8.406632802162774</v>
      </c>
      <c r="I47" t="n">
        <v>40</v>
      </c>
      <c r="J47" t="n">
        <v>0</v>
      </c>
      <c r="K47" t="n">
        <v>0.7759575991077973</v>
      </c>
      <c r="L47" t="n">
        <v>0.986380372285752</v>
      </c>
      <c r="M47" t="n">
        <v>0.8580814538246295</v>
      </c>
      <c r="N47" t="n">
        <v>0.1499999999998699</v>
      </c>
      <c r="O47" t="n">
        <v>0.03673519004411575</v>
      </c>
      <c r="P47" t="n">
        <v>0.7721047548965557</v>
      </c>
      <c r="Q47" t="n">
        <v>46</v>
      </c>
    </row>
    <row r="48">
      <c r="A48" t="inlineStr">
        <is>
          <t>NL16010</t>
        </is>
      </c>
      <c r="B48" t="n">
        <v>0.6047408854545981</v>
      </c>
      <c r="C48" t="n">
        <v>0.5544523865887092</v>
      </c>
      <c r="D48" t="n">
        <v>0.654677542577668</v>
      </c>
      <c r="E48" t="n">
        <v>48.91962</v>
      </c>
      <c r="F48" t="n">
        <v>38</v>
      </c>
      <c r="G48" t="n">
        <v>65</v>
      </c>
      <c r="H48" t="n">
        <v>5.82774047599884</v>
      </c>
      <c r="I48" t="n">
        <v>27</v>
      </c>
      <c r="J48" t="n">
        <v>0</v>
      </c>
      <c r="K48" t="n">
        <v>0.7765431319760926</v>
      </c>
      <c r="L48" t="n">
        <v>0.9224347844134165</v>
      </c>
      <c r="M48" t="n">
        <v>0.7879719481076792</v>
      </c>
      <c r="N48" t="n">
        <v>0.4907318697839708</v>
      </c>
      <c r="O48" t="n">
        <v>0.02928919076613662</v>
      </c>
      <c r="P48" t="n">
        <v>0.5515076065806599</v>
      </c>
      <c r="Q48" t="n">
        <v>47</v>
      </c>
    </row>
    <row r="49">
      <c r="A49" t="inlineStr">
        <is>
          <t>PLPM0110</t>
        </is>
      </c>
      <c r="B49" t="n">
        <v>0.6032911570732991</v>
      </c>
      <c r="C49" t="n">
        <v>0.5615813742640312</v>
      </c>
      <c r="D49" t="n">
        <v>0.6467370157866699</v>
      </c>
      <c r="E49" t="n">
        <v>49.42902</v>
      </c>
      <c r="F49" t="n">
        <v>34</v>
      </c>
      <c r="G49" t="n">
        <v>67</v>
      </c>
      <c r="H49" t="n">
        <v>6.289880908220664</v>
      </c>
      <c r="I49" t="n">
        <v>33</v>
      </c>
      <c r="J49" t="n">
        <v>0</v>
      </c>
      <c r="K49" t="n">
        <v>0.6304022921219991</v>
      </c>
      <c r="L49" t="n">
        <v>0.7407839501436746</v>
      </c>
      <c r="M49" t="n">
        <v>0.9216545153202995</v>
      </c>
      <c r="N49" t="n">
        <v>0.4856224041768946</v>
      </c>
      <c r="O49" t="n">
        <v>0.1851369237999075</v>
      </c>
      <c r="P49" t="n">
        <v>0.6915918281950266</v>
      </c>
      <c r="Q49" t="n">
        <v>48</v>
      </c>
    </row>
    <row r="50">
      <c r="A50" t="inlineStr">
        <is>
          <t>PLLO0010</t>
        </is>
      </c>
      <c r="B50" t="n">
        <v>0.6020470663111844</v>
      </c>
      <c r="C50" t="n">
        <v>0.5553683842464212</v>
      </c>
      <c r="D50" t="n">
        <v>0.6477329360135158</v>
      </c>
      <c r="E50" t="n">
        <v>50.47644</v>
      </c>
      <c r="F50" t="n">
        <v>28</v>
      </c>
      <c r="G50" t="n">
        <v>82</v>
      </c>
      <c r="H50" t="n">
        <v>10.5385788855236</v>
      </c>
      <c r="I50" t="n">
        <v>54</v>
      </c>
      <c r="J50" t="n">
        <v>0</v>
      </c>
      <c r="K50" t="n">
        <v>0.570106432710334</v>
      </c>
      <c r="L50" t="n">
        <v>0.5392755370379259</v>
      </c>
      <c r="M50" t="n">
        <v>0.9787716256253097</v>
      </c>
      <c r="N50" t="n">
        <v>1</v>
      </c>
      <c r="O50" t="n">
        <v>0.2948774973011835</v>
      </c>
      <c r="P50" t="n">
        <v>0.3335679815942918</v>
      </c>
      <c r="Q50" t="n">
        <v>49</v>
      </c>
    </row>
    <row r="51">
      <c r="A51" t="inlineStr">
        <is>
          <t>PLKP0011</t>
        </is>
      </c>
      <c r="B51" t="n">
        <v>0.5998503377199057</v>
      </c>
      <c r="C51" t="n">
        <v>0.5485138561381232</v>
      </c>
      <c r="D51" t="n">
        <v>0.6502228562379233</v>
      </c>
      <c r="E51" t="n">
        <v>51.9241</v>
      </c>
      <c r="F51" t="n">
        <v>32</v>
      </c>
      <c r="G51" t="n">
        <v>79</v>
      </c>
      <c r="H51" t="n">
        <v>9.230240473032296</v>
      </c>
      <c r="I51" t="n">
        <v>47</v>
      </c>
      <c r="J51" t="n">
        <v>0</v>
      </c>
      <c r="K51" t="n">
        <v>0.5904071876505199</v>
      </c>
      <c r="L51" t="n">
        <v>0.6152502081844516</v>
      </c>
      <c r="M51" t="n">
        <v>0.9613305618047203</v>
      </c>
      <c r="N51" t="n">
        <v>1</v>
      </c>
      <c r="O51" t="n">
        <v>0.09898127355245823</v>
      </c>
      <c r="P51" t="n">
        <v>0.3984839036238406</v>
      </c>
      <c r="Q51" t="n">
        <v>50</v>
      </c>
    </row>
    <row r="52">
      <c r="A52" t="inlineStr">
        <is>
          <t>DETP_BE01</t>
        </is>
      </c>
      <c r="B52" t="n">
        <v>0.5971532411724886</v>
      </c>
      <c r="C52" t="n">
        <v>0.5540373108553739</v>
      </c>
      <c r="D52" t="n">
        <v>0.6400371955689361</v>
      </c>
      <c r="E52" t="n">
        <v>53.78812</v>
      </c>
      <c r="F52" t="n">
        <v>28</v>
      </c>
      <c r="G52" t="n">
        <v>91</v>
      </c>
      <c r="H52" t="n">
        <v>12.28682167468865</v>
      </c>
      <c r="I52" t="n">
        <v>63</v>
      </c>
      <c r="J52" t="n">
        <v>0</v>
      </c>
      <c r="K52" t="n">
        <v>0.595607573643877</v>
      </c>
      <c r="L52" t="n">
        <v>0.510982437046271</v>
      </c>
      <c r="M52" t="n">
        <v>0.967945279921856</v>
      </c>
      <c r="N52" t="n">
        <v>1</v>
      </c>
      <c r="O52" t="n">
        <v>0.3622154347410253</v>
      </c>
      <c r="P52" t="n">
        <v>0.2853514342648795</v>
      </c>
      <c r="Q52" t="n">
        <v>51</v>
      </c>
    </row>
    <row r="53">
      <c r="A53" t="inlineStr">
        <is>
          <t>DETP_BW2215100000002</t>
        </is>
      </c>
      <c r="B53" t="n">
        <v>0.5963708520293216</v>
      </c>
      <c r="C53" t="n">
        <v>0.539131906578813</v>
      </c>
      <c r="D53" t="n">
        <v>0.6531603948198885</v>
      </c>
      <c r="E53" t="n">
        <v>54.54456</v>
      </c>
      <c r="F53" t="n">
        <v>36</v>
      </c>
      <c r="G53" t="n">
        <v>86</v>
      </c>
      <c r="H53" t="n">
        <v>10.44525032760829</v>
      </c>
      <c r="I53" t="n">
        <v>50</v>
      </c>
      <c r="J53" t="n">
        <v>0</v>
      </c>
      <c r="K53" t="n">
        <v>0.4306925416869779</v>
      </c>
      <c r="L53" t="n">
        <v>0.8507531539067428</v>
      </c>
      <c r="M53" t="n">
        <v>0.741999929925145</v>
      </c>
      <c r="N53" t="n">
        <v>1</v>
      </c>
      <c r="O53" t="n">
        <v>0.04105371120568008</v>
      </c>
      <c r="P53" t="n">
        <v>0.1111542578813941</v>
      </c>
      <c r="Q53" t="n">
        <v>52</v>
      </c>
    </row>
    <row r="54">
      <c r="A54" t="inlineStr">
        <is>
          <t>BGWT68134_00_01</t>
        </is>
      </c>
      <c r="B54" t="n">
        <v>0.5946469722304737</v>
      </c>
      <c r="C54" t="n">
        <v>0.5568565232776953</v>
      </c>
      <c r="D54" t="n">
        <v>0.633817364231565</v>
      </c>
      <c r="E54" t="n">
        <v>54.56136</v>
      </c>
      <c r="F54" t="n">
        <v>41</v>
      </c>
      <c r="G54" t="n">
        <v>72</v>
      </c>
      <c r="H54" t="n">
        <v>6.215055506622358</v>
      </c>
      <c r="I54" t="n">
        <v>31</v>
      </c>
      <c r="J54" t="n">
        <v>0</v>
      </c>
      <c r="K54" t="n">
        <v>0.3706559262133552</v>
      </c>
      <c r="L54" t="n">
        <v>0.7109611419700606</v>
      </c>
      <c r="M54" t="n">
        <v>0.794637967791973</v>
      </c>
      <c r="N54" t="n">
        <v>0.5652553300897158</v>
      </c>
      <c r="O54" t="n">
        <v>0.254894707730134</v>
      </c>
      <c r="P54" t="n">
        <v>0.666801714178788</v>
      </c>
      <c r="Q54" t="n">
        <v>53</v>
      </c>
    </row>
    <row r="55">
      <c r="A55" t="inlineStr">
        <is>
          <t>PLPM0010</t>
        </is>
      </c>
      <c r="B55" t="n">
        <v>0.5912941972440261</v>
      </c>
      <c r="C55" t="n">
        <v>0.552930556754339</v>
      </c>
      <c r="D55" t="n">
        <v>0.6290649158245371</v>
      </c>
      <c r="E55" t="n">
        <v>57.09086</v>
      </c>
      <c r="F55" t="n">
        <v>40</v>
      </c>
      <c r="G55" t="n">
        <v>81</v>
      </c>
      <c r="H55" t="n">
        <v>8.262682643088748</v>
      </c>
      <c r="I55" t="n">
        <v>41</v>
      </c>
      <c r="J55" t="n">
        <v>0</v>
      </c>
      <c r="K55" t="n">
        <v>0.9638108894627441</v>
      </c>
      <c r="L55" t="n">
        <v>0.5486354849078453</v>
      </c>
      <c r="M55" t="n">
        <v>0.9254638319220984</v>
      </c>
      <c r="N55" t="n">
        <v>0.6893927613628946</v>
      </c>
      <c r="O55" t="n">
        <v>0.2386510943725905</v>
      </c>
      <c r="P55" t="n">
        <v>0.666801714178788</v>
      </c>
      <c r="Q55" t="n">
        <v>54</v>
      </c>
    </row>
    <row r="56">
      <c r="A56" t="inlineStr">
        <is>
          <t>DETP_HE064120006011</t>
        </is>
      </c>
      <c r="B56" t="n">
        <v>0.5902760193580194</v>
      </c>
      <c r="C56" t="n">
        <v>0.5360481315348541</v>
      </c>
      <c r="D56" t="n">
        <v>0.6455398243427453</v>
      </c>
      <c r="E56" t="n">
        <v>57.16226</v>
      </c>
      <c r="F56" t="n">
        <v>43</v>
      </c>
      <c r="G56" t="n">
        <v>78</v>
      </c>
      <c r="H56" t="n">
        <v>7.887639171031941</v>
      </c>
      <c r="I56" t="n">
        <v>35</v>
      </c>
      <c r="J56" t="n">
        <v>0</v>
      </c>
      <c r="K56" t="n">
        <v>0.4358456508549222</v>
      </c>
      <c r="L56" t="n">
        <v>0.9902475673248651</v>
      </c>
      <c r="M56" t="n">
        <v>0.929255926230048</v>
      </c>
      <c r="N56" t="n">
        <v>0.4954811914091603</v>
      </c>
      <c r="O56" t="n">
        <v>0.06954386409996824</v>
      </c>
      <c r="P56" t="n">
        <v>0.1886241223890255</v>
      </c>
      <c r="Q56" t="n">
        <v>55</v>
      </c>
    </row>
    <row r="57">
      <c r="A57" t="inlineStr">
        <is>
          <t>ES1210410001010E</t>
        </is>
      </c>
      <c r="B57" t="n">
        <v>0.587669610629602</v>
      </c>
      <c r="C57" t="n">
        <v>0.5200659157316012</v>
      </c>
      <c r="D57" t="n">
        <v>0.6547769316948213</v>
      </c>
      <c r="E57" t="n">
        <v>59.52498</v>
      </c>
      <c r="F57" t="n">
        <v>37</v>
      </c>
      <c r="G57" t="n">
        <v>90</v>
      </c>
      <c r="H57" t="n">
        <v>11.95372310201298</v>
      </c>
      <c r="I57" t="n">
        <v>53</v>
      </c>
      <c r="J57" t="n">
        <v>0</v>
      </c>
      <c r="K57" t="n">
        <v>0.8952658703976503</v>
      </c>
      <c r="L57" t="n">
        <v>0.9899526590515443</v>
      </c>
      <c r="M57" t="n">
        <v>0.8406424805551858</v>
      </c>
      <c r="N57" t="n">
        <v>0</v>
      </c>
      <c r="O57" t="n">
        <v>0.0004745854536866394</v>
      </c>
      <c r="P57" t="n">
        <v>0.8633324229163318</v>
      </c>
      <c r="Q57" t="n">
        <v>56</v>
      </c>
    </row>
    <row r="58">
      <c r="A58" t="inlineStr">
        <is>
          <t>IT05000000000213</t>
        </is>
      </c>
      <c r="B58" t="n">
        <v>0.5862315125285907</v>
      </c>
      <c r="C58" t="n">
        <v>0.5205005383757141</v>
      </c>
      <c r="D58" t="n">
        <v>0.6512058039573128</v>
      </c>
      <c r="E58" t="n">
        <v>60.49526</v>
      </c>
      <c r="F58" t="n">
        <v>37</v>
      </c>
      <c r="G58" t="n">
        <v>92</v>
      </c>
      <c r="H58" t="n">
        <v>12.44859580564854</v>
      </c>
      <c r="I58" t="n">
        <v>55</v>
      </c>
      <c r="J58" t="n">
        <v>0</v>
      </c>
      <c r="K58" t="n">
        <v>0.1934685596335917</v>
      </c>
      <c r="L58" t="n">
        <v>0.9053777573332694</v>
      </c>
      <c r="M58" t="n">
        <v>0.9775866849908802</v>
      </c>
      <c r="N58" t="n">
        <v>0</v>
      </c>
      <c r="O58" t="n">
        <v>0.05575741926727376</v>
      </c>
      <c r="P58" t="n">
        <v>1</v>
      </c>
      <c r="Q58" t="n">
        <v>57</v>
      </c>
    </row>
    <row r="59">
      <c r="A59" t="inlineStr">
        <is>
          <t>NL31005</t>
        </is>
      </c>
      <c r="B59" t="n">
        <v>0.5860462201726053</v>
      </c>
      <c r="C59" t="n">
        <v>0.5406515845521057</v>
      </c>
      <c r="D59" t="n">
        <v>0.6305572061438497</v>
      </c>
      <c r="E59" t="n">
        <v>60.70556</v>
      </c>
      <c r="F59" t="n">
        <v>41</v>
      </c>
      <c r="G59" t="n">
        <v>83</v>
      </c>
      <c r="H59" t="n">
        <v>8.988289330367607</v>
      </c>
      <c r="I59" t="n">
        <v>42</v>
      </c>
      <c r="J59" t="n">
        <v>0</v>
      </c>
      <c r="K59" t="n">
        <v>0.8539003576124111</v>
      </c>
      <c r="L59" t="n">
        <v>0.6748343074885362</v>
      </c>
      <c r="M59" t="n">
        <v>0.7068598411645407</v>
      </c>
      <c r="N59" t="n">
        <v>0.51971994383093</v>
      </c>
      <c r="O59" t="n">
        <v>0.03879472175935823</v>
      </c>
      <c r="P59" t="n">
        <v>1</v>
      </c>
      <c r="Q59" t="n">
        <v>58</v>
      </c>
    </row>
    <row r="60">
      <c r="A60" t="inlineStr">
        <is>
          <t>NL15008</t>
        </is>
      </c>
      <c r="B60" t="n">
        <v>0.5859490120910513</v>
      </c>
      <c r="C60" t="n">
        <v>0.5330601776520693</v>
      </c>
      <c r="D60" t="n">
        <v>0.6369167493168916</v>
      </c>
      <c r="E60" t="n">
        <v>61.98406</v>
      </c>
      <c r="F60" t="n">
        <v>39</v>
      </c>
      <c r="G60" t="n">
        <v>95</v>
      </c>
      <c r="H60" t="n">
        <v>11.86612345782705</v>
      </c>
      <c r="I60" t="n">
        <v>56</v>
      </c>
      <c r="J60" t="n">
        <v>0</v>
      </c>
      <c r="K60" t="n">
        <v>1</v>
      </c>
      <c r="L60" t="n">
        <v>0.5615145412428888</v>
      </c>
      <c r="M60" t="n">
        <v>0.9460845075737661</v>
      </c>
      <c r="N60" t="n">
        <v>1</v>
      </c>
      <c r="O60" t="n">
        <v>0.122995620585546</v>
      </c>
      <c r="P60" t="n">
        <v>0.3335679815942918</v>
      </c>
      <c r="Q60" t="n">
        <v>59</v>
      </c>
    </row>
    <row r="61">
      <c r="A61" t="inlineStr">
        <is>
          <t>UKENTH_TWU_TP000125</t>
        </is>
      </c>
      <c r="B61" t="n">
        <v>0.5857808517205263</v>
      </c>
      <c r="C61" t="n">
        <v>0.535470956900468</v>
      </c>
      <c r="D61" t="n">
        <v>0.6353100993334617</v>
      </c>
      <c r="E61" t="n">
        <v>60.22922</v>
      </c>
      <c r="F61" t="n">
        <v>46</v>
      </c>
      <c r="G61" t="n">
        <v>78</v>
      </c>
      <c r="H61" t="n">
        <v>6.689457241929398</v>
      </c>
      <c r="I61" t="n">
        <v>32</v>
      </c>
      <c r="J61" t="n">
        <v>0</v>
      </c>
      <c r="K61" t="n">
        <v>0.843511267625651</v>
      </c>
      <c r="L61" t="n">
        <v>0.8819818958815789</v>
      </c>
      <c r="M61" t="n">
        <v>0.8505265874746232</v>
      </c>
      <c r="N61" t="n">
        <v>0.4931596518229744</v>
      </c>
      <c r="O61" t="n">
        <v>0.02391235024136857</v>
      </c>
      <c r="P61" t="n">
        <v>0.4560429317079178</v>
      </c>
      <c r="Q61" t="n">
        <v>60</v>
      </c>
    </row>
    <row r="62">
      <c r="A62" t="inlineStr">
        <is>
          <t>UKENNE_YW_TP000095</t>
        </is>
      </c>
      <c r="B62" t="n">
        <v>0.5851818332033347</v>
      </c>
      <c r="C62" t="n">
        <v>0.5400463148706897</v>
      </c>
      <c r="D62" t="n">
        <v>0.6287896414823629</v>
      </c>
      <c r="E62" t="n">
        <v>61.25732</v>
      </c>
      <c r="F62" t="n">
        <v>46</v>
      </c>
      <c r="G62" t="n">
        <v>82</v>
      </c>
      <c r="H62" t="n">
        <v>7.371302898239856</v>
      </c>
      <c r="I62" t="n">
        <v>36</v>
      </c>
      <c r="J62" t="n">
        <v>0</v>
      </c>
      <c r="K62" t="n">
        <v>0.8944236354021506</v>
      </c>
      <c r="L62" t="n">
        <v>0.69456471543725</v>
      </c>
      <c r="M62" t="n">
        <v>0.991558034634022</v>
      </c>
      <c r="N62" t="n">
        <v>0.5467604129587541</v>
      </c>
      <c r="O62" t="n">
        <v>0.04560915244776768</v>
      </c>
      <c r="P62" t="n">
        <v>0.666801714178788</v>
      </c>
      <c r="Q62" t="n">
        <v>61</v>
      </c>
    </row>
    <row r="63">
      <c r="A63" t="inlineStr">
        <is>
          <t>DETP_NW1</t>
        </is>
      </c>
      <c r="B63" t="n">
        <v>0.5848540271154746</v>
      </c>
      <c r="C63" t="n">
        <v>0.5330527523602748</v>
      </c>
      <c r="D63" t="n">
        <v>0.6354300101791133</v>
      </c>
      <c r="E63" t="n">
        <v>60.87942</v>
      </c>
      <c r="F63" t="n">
        <v>47</v>
      </c>
      <c r="G63" t="n">
        <v>79</v>
      </c>
      <c r="H63" t="n">
        <v>6.731341654053992</v>
      </c>
      <c r="I63" t="n">
        <v>32</v>
      </c>
      <c r="J63" t="n">
        <v>0</v>
      </c>
      <c r="K63" t="n">
        <v>0.6729346788552237</v>
      </c>
      <c r="L63" t="n">
        <v>0.897764501096643</v>
      </c>
      <c r="M63" t="n">
        <v>0.9222811070238617</v>
      </c>
      <c r="N63" t="n">
        <v>0.493161267354553</v>
      </c>
      <c r="O63" t="n">
        <v>0.06643584742053377</v>
      </c>
      <c r="P63" t="n">
        <v>0.3335679815942918</v>
      </c>
      <c r="Q63" t="n">
        <v>62</v>
      </c>
    </row>
    <row r="64">
      <c r="A64" t="inlineStr">
        <is>
          <t>HU-WWTP-AIA440</t>
        </is>
      </c>
      <c r="B64" t="n">
        <v>0.5830051909194328</v>
      </c>
      <c r="C64" t="n">
        <v>0.5515158850552433</v>
      </c>
      <c r="D64" t="n">
        <v>0.6155729155830006</v>
      </c>
      <c r="E64" t="n">
        <v>63.13102</v>
      </c>
      <c r="F64" t="n">
        <v>45</v>
      </c>
      <c r="G64" t="n">
        <v>85</v>
      </c>
      <c r="H64" t="n">
        <v>8.424139941833978</v>
      </c>
      <c r="I64" t="n">
        <v>40</v>
      </c>
      <c r="J64" t="n">
        <v>0</v>
      </c>
      <c r="K64" t="n">
        <v>0.7302200516672924</v>
      </c>
      <c r="L64" t="n">
        <v>0.5529449415902812</v>
      </c>
      <c r="M64" t="n">
        <v>0.9263937077077157</v>
      </c>
      <c r="N64" t="n">
        <v>0.536900043510434</v>
      </c>
      <c r="O64" t="n">
        <v>0.325041868027623</v>
      </c>
      <c r="P64" t="n">
        <v>0.7258677333686542</v>
      </c>
      <c r="Q64" t="n">
        <v>63</v>
      </c>
    </row>
    <row r="65">
      <c r="A65" t="inlineStr">
        <is>
          <t>IT08000000000007</t>
        </is>
      </c>
      <c r="B65" t="n">
        <v>0.5812750118992696</v>
      </c>
      <c r="C65" t="n">
        <v>0.5320527885407217</v>
      </c>
      <c r="D65" t="n">
        <v>0.6302963578150939</v>
      </c>
      <c r="E65" t="n">
        <v>65.3518</v>
      </c>
      <c r="F65" t="n">
        <v>41</v>
      </c>
      <c r="G65" t="n">
        <v>101</v>
      </c>
      <c r="H65" t="n">
        <v>12.84847371324698</v>
      </c>
      <c r="I65" t="n">
        <v>60</v>
      </c>
      <c r="J65" t="n">
        <v>0</v>
      </c>
      <c r="K65" t="n">
        <v>0.4308124965766507</v>
      </c>
      <c r="L65" t="n">
        <v>0.6469318655334014</v>
      </c>
      <c r="M65" t="n">
        <v>0.7331242400469301</v>
      </c>
      <c r="N65" t="n">
        <v>1</v>
      </c>
      <c r="O65" t="n">
        <v>0.1637016277100108</v>
      </c>
      <c r="P65" t="n">
        <v>0.3332337325844886</v>
      </c>
      <c r="Q65" t="n">
        <v>64</v>
      </c>
    </row>
    <row r="66">
      <c r="A66" t="inlineStr">
        <is>
          <t>PLPM0020</t>
        </is>
      </c>
      <c r="B66" t="n">
        <v>0.5798525034318804</v>
      </c>
      <c r="C66" t="n">
        <v>0.5276630520873397</v>
      </c>
      <c r="D66" t="n">
        <v>0.6308542651957568</v>
      </c>
      <c r="E66" t="n">
        <v>66.63202</v>
      </c>
      <c r="F66" t="n">
        <v>39</v>
      </c>
      <c r="G66" t="n">
        <v>104</v>
      </c>
      <c r="H66" t="n">
        <v>13.78321191593596</v>
      </c>
      <c r="I66" t="n">
        <v>65</v>
      </c>
      <c r="J66" t="n">
        <v>0</v>
      </c>
      <c r="K66" t="n">
        <v>0.9827296086465447</v>
      </c>
      <c r="L66" t="n">
        <v>0.5479072985308897</v>
      </c>
      <c r="M66" t="n">
        <v>0.9213821103930687</v>
      </c>
      <c r="N66" t="n">
        <v>1</v>
      </c>
      <c r="O66" t="n">
        <v>0.1338141828610531</v>
      </c>
      <c r="P66" t="n">
        <v>0.3332337325844886</v>
      </c>
      <c r="Q66" t="n">
        <v>65</v>
      </c>
    </row>
    <row r="67">
      <c r="A67" t="inlineStr">
        <is>
          <t>DETP_ST152611000039</t>
        </is>
      </c>
      <c r="B67" t="n">
        <v>0.5791705911320865</v>
      </c>
      <c r="C67" t="n">
        <v>0.5199784402775797</v>
      </c>
      <c r="D67" t="n">
        <v>0.6390677056203057</v>
      </c>
      <c r="E67" t="n">
        <v>65.9316</v>
      </c>
      <c r="F67" t="n">
        <v>45</v>
      </c>
      <c r="G67" t="n">
        <v>98</v>
      </c>
      <c r="H67" t="n">
        <v>11.33350967000092</v>
      </c>
      <c r="I67" t="n">
        <v>53</v>
      </c>
      <c r="J67" t="n">
        <v>0</v>
      </c>
      <c r="K67" t="n">
        <v>0.5511822690134437</v>
      </c>
      <c r="L67" t="n">
        <v>0.9927063959091145</v>
      </c>
      <c r="M67" t="n">
        <v>0.8981769385623405</v>
      </c>
      <c r="N67" t="n">
        <v>0.6023808235438489</v>
      </c>
      <c r="O67" t="n">
        <v>0.05141376680361547</v>
      </c>
      <c r="P67" t="n">
        <v>0</v>
      </c>
      <c r="Q67" t="n">
        <v>66</v>
      </c>
    </row>
    <row r="68">
      <c r="A68" t="inlineStr">
        <is>
          <t>HRUWWTP_0004008_001</t>
        </is>
      </c>
      <c r="B68" t="n">
        <v>0.5778889112070312</v>
      </c>
      <c r="C68" t="n">
        <v>0.533990973363926</v>
      </c>
      <c r="D68" t="n">
        <v>0.621662562798613</v>
      </c>
      <c r="E68" t="n">
        <v>67.16172</v>
      </c>
      <c r="F68" t="n">
        <v>48</v>
      </c>
      <c r="G68" t="n">
        <v>96</v>
      </c>
      <c r="H68" t="n">
        <v>9.654665537531905</v>
      </c>
      <c r="I68" t="n">
        <v>48</v>
      </c>
      <c r="J68" t="n">
        <v>0</v>
      </c>
      <c r="K68" t="n">
        <v>0.5198124007728809</v>
      </c>
      <c r="L68" t="n">
        <v>0.7169488802148898</v>
      </c>
      <c r="M68" t="n">
        <v>0.8364736062682806</v>
      </c>
      <c r="N68" t="n">
        <v>0.7205125390610168</v>
      </c>
      <c r="O68" t="n">
        <v>0.2144806988380987</v>
      </c>
      <c r="P68" t="n">
        <v>0.3332337325844886</v>
      </c>
      <c r="Q68" t="n">
        <v>67</v>
      </c>
    </row>
    <row r="69">
      <c r="A69" t="inlineStr">
        <is>
          <t>UKENTH_TWU_TP000102</t>
        </is>
      </c>
      <c r="B69" t="n">
        <v>0.5772764907840967</v>
      </c>
      <c r="C69" t="n">
        <v>0.5271845502888945</v>
      </c>
      <c r="D69" t="n">
        <v>0.6260498740161778</v>
      </c>
      <c r="E69" t="n">
        <v>67.12273999999999</v>
      </c>
      <c r="F69" t="n">
        <v>51</v>
      </c>
      <c r="G69" t="n">
        <v>86</v>
      </c>
      <c r="H69" t="n">
        <v>6.904279462217523</v>
      </c>
      <c r="I69" t="n">
        <v>35</v>
      </c>
      <c r="J69" t="n">
        <v>0</v>
      </c>
      <c r="K69" t="n">
        <v>0.8465644942872013</v>
      </c>
      <c r="L69" t="n">
        <v>0.8404500476504633</v>
      </c>
      <c r="M69" t="n">
        <v>0.9630678420322282</v>
      </c>
      <c r="N69" t="n">
        <v>0.4931596518229744</v>
      </c>
      <c r="O69" t="n">
        <v>0.07853785533109553</v>
      </c>
      <c r="P69" t="n">
        <v>0.3335679815942918</v>
      </c>
      <c r="Q69" t="n">
        <v>68</v>
      </c>
    </row>
    <row r="70">
      <c r="A70" t="inlineStr">
        <is>
          <t>PLLO0030</t>
        </is>
      </c>
      <c r="B70" t="n">
        <v>0.5720433692699348</v>
      </c>
      <c r="C70" t="n">
        <v>0.5276911561240233</v>
      </c>
      <c r="D70" t="n">
        <v>0.6174262935462316</v>
      </c>
      <c r="E70" t="n">
        <v>70.62768</v>
      </c>
      <c r="F70" t="n">
        <v>51</v>
      </c>
      <c r="G70" t="n">
        <v>90</v>
      </c>
      <c r="H70" t="n">
        <v>8.02682364435635</v>
      </c>
      <c r="I70" t="n">
        <v>39</v>
      </c>
      <c r="J70" t="n">
        <v>0</v>
      </c>
      <c r="K70" t="n">
        <v>0.5678391997027755</v>
      </c>
      <c r="L70" t="n">
        <v>0.7013447643719252</v>
      </c>
      <c r="M70" t="n">
        <v>0.8780624510620756</v>
      </c>
      <c r="N70" t="n">
        <v>0.5690972311214421</v>
      </c>
      <c r="O70" t="n">
        <v>0.06203776048653862</v>
      </c>
      <c r="P70" t="n">
        <v>0.6667662674155113</v>
      </c>
      <c r="Q70" t="n">
        <v>69</v>
      </c>
    </row>
    <row r="71">
      <c r="A71" t="inlineStr">
        <is>
          <t>FR026830000459</t>
        </is>
      </c>
      <c r="B71" t="n">
        <v>0.5706564721547854</v>
      </c>
      <c r="C71" t="n">
        <v>0.5139634529891383</v>
      </c>
      <c r="D71" t="n">
        <v>0.6274440561814637</v>
      </c>
      <c r="E71" t="n">
        <v>71.98312</v>
      </c>
      <c r="F71" t="n">
        <v>49.99500000000023</v>
      </c>
      <c r="G71" t="n">
        <v>101</v>
      </c>
      <c r="H71" t="n">
        <v>10.42150445308159</v>
      </c>
      <c r="I71" t="n">
        <v>51.00499999999977</v>
      </c>
      <c r="J71" t="n">
        <v>0</v>
      </c>
      <c r="K71" t="n">
        <v>0.2870666967609026</v>
      </c>
      <c r="L71" t="n">
        <v>0.977196668292284</v>
      </c>
      <c r="M71" t="n">
        <v>0.8900888919021958</v>
      </c>
      <c r="N71" t="n">
        <v>0.4489826351808145</v>
      </c>
      <c r="O71" t="n">
        <v>0.02356853867612393</v>
      </c>
      <c r="P71" t="n">
        <v>0.2604913676913853</v>
      </c>
      <c r="Q71" t="n">
        <v>70</v>
      </c>
    </row>
    <row r="72">
      <c r="A72" t="inlineStr">
        <is>
          <t>RO7BV_511</t>
        </is>
      </c>
      <c r="B72" t="n">
        <v>0.5705624131484395</v>
      </c>
      <c r="C72" t="n">
        <v>0.52631721745273</v>
      </c>
      <c r="D72" t="n">
        <v>0.6149709448287528</v>
      </c>
      <c r="E72" t="n">
        <v>72.38424000000001</v>
      </c>
      <c r="F72" t="n">
        <v>57</v>
      </c>
      <c r="G72" t="n">
        <v>92</v>
      </c>
      <c r="H72" t="n">
        <v>7.156937866322361</v>
      </c>
      <c r="I72" t="n">
        <v>35</v>
      </c>
      <c r="J72" t="n">
        <v>0</v>
      </c>
      <c r="K72" t="n">
        <v>0.5050174774539505</v>
      </c>
      <c r="L72" t="n">
        <v>0.6798722196729241</v>
      </c>
      <c r="M72" t="n">
        <v>0.9152935317012714</v>
      </c>
      <c r="N72" t="n">
        <v>0.5745311933861145</v>
      </c>
      <c r="O72" t="n">
        <v>0.07332623748276756</v>
      </c>
      <c r="P72" t="n">
        <v>0.666801714178788</v>
      </c>
      <c r="Q72" t="n">
        <v>71</v>
      </c>
    </row>
    <row r="73">
      <c r="A73" t="inlineStr">
        <is>
          <t>ATTP_5-A1699622R154</t>
        </is>
      </c>
      <c r="B73" t="n">
        <v>0.5689789612942644</v>
      </c>
      <c r="C73" t="n">
        <v>0.5273730255867839</v>
      </c>
      <c r="D73" t="n">
        <v>0.6098526874864416</v>
      </c>
      <c r="E73" t="n">
        <v>73.67604</v>
      </c>
      <c r="F73" t="n">
        <v>59</v>
      </c>
      <c r="G73" t="n">
        <v>94</v>
      </c>
      <c r="H73" t="n">
        <v>6.790906413609145</v>
      </c>
      <c r="I73" t="n">
        <v>35</v>
      </c>
      <c r="J73" t="n">
        <v>0</v>
      </c>
      <c r="K73" t="n">
        <v>0.3415114605994691</v>
      </c>
      <c r="L73" t="n">
        <v>0.7804260942582089</v>
      </c>
      <c r="M73" t="n">
        <v>0.8384000841982036</v>
      </c>
      <c r="N73" t="n">
        <v>0.6022769629371176</v>
      </c>
      <c r="O73" t="n">
        <v>0.07976180486409058</v>
      </c>
      <c r="P73" t="n">
        <v>0.4740486577608132</v>
      </c>
      <c r="Q73" t="n">
        <v>72</v>
      </c>
    </row>
    <row r="74">
      <c r="A74" t="inlineStr">
        <is>
          <t>ES10030140002012E</t>
        </is>
      </c>
      <c r="B74" t="n">
        <v>0.5689581740580565</v>
      </c>
      <c r="C74" t="n">
        <v>0.5062326604733279</v>
      </c>
      <c r="D74" t="n">
        <v>0.6311594165352095</v>
      </c>
      <c r="E74" t="n">
        <v>71.81936</v>
      </c>
      <c r="F74" t="n">
        <v>47</v>
      </c>
      <c r="G74" t="n">
        <v>100</v>
      </c>
      <c r="H74" t="n">
        <v>12.00454119033276</v>
      </c>
      <c r="I74" t="n">
        <v>53</v>
      </c>
      <c r="J74" t="n">
        <v>0</v>
      </c>
      <c r="K74" t="n">
        <v>0.670758539348669</v>
      </c>
      <c r="L74" t="n">
        <v>0.9047491333855403</v>
      </c>
      <c r="M74" t="n">
        <v>0.9281617720650125</v>
      </c>
      <c r="N74" t="n">
        <v>0</v>
      </c>
      <c r="O74" t="n">
        <v>0.04293852626734598</v>
      </c>
      <c r="P74" t="n">
        <v>0.8505175891920075</v>
      </c>
      <c r="Q74" t="n">
        <v>73</v>
      </c>
    </row>
    <row r="75">
      <c r="A75" t="inlineStr">
        <is>
          <t>DETP_BW1115100000001</t>
        </is>
      </c>
      <c r="B75" t="n">
        <v>0.5679062286341946</v>
      </c>
      <c r="C75" t="n">
        <v>0.5261273888906377</v>
      </c>
      <c r="D75" t="n">
        <v>0.6104357248697841</v>
      </c>
      <c r="E75" t="n">
        <v>74.03552000000001</v>
      </c>
      <c r="F75" t="n">
        <v>57</v>
      </c>
      <c r="G75" t="n">
        <v>95</v>
      </c>
      <c r="H75" t="n">
        <v>7.608769830241867</v>
      </c>
      <c r="I75" t="n">
        <v>38</v>
      </c>
      <c r="J75" t="n">
        <v>0</v>
      </c>
      <c r="K75" t="n">
        <v>0.452324833284364</v>
      </c>
      <c r="L75" t="n">
        <v>0.7421095661744062</v>
      </c>
      <c r="M75" t="n">
        <v>0.8599688536989497</v>
      </c>
      <c r="N75" t="n">
        <v>0.5699423242757504</v>
      </c>
      <c r="O75" t="n">
        <v>0.2586148787615056</v>
      </c>
      <c r="P75" t="n">
        <v>0.3335679815942918</v>
      </c>
      <c r="Q75" t="n">
        <v>74</v>
      </c>
    </row>
    <row r="76">
      <c r="A76" t="inlineStr">
        <is>
          <t>DETP_NI201000201</t>
        </is>
      </c>
      <c r="B76" t="n">
        <v>0.56685759679473</v>
      </c>
      <c r="C76" t="n">
        <v>0.5145482623997267</v>
      </c>
      <c r="D76" t="n">
        <v>0.6180166811338741</v>
      </c>
      <c r="E76" t="n">
        <v>76.04510000000001</v>
      </c>
      <c r="F76" t="n">
        <v>51</v>
      </c>
      <c r="G76" t="n">
        <v>108</v>
      </c>
      <c r="H76" t="n">
        <v>13.15623449129736</v>
      </c>
      <c r="I76" t="n">
        <v>57</v>
      </c>
      <c r="J76" t="n">
        <v>0</v>
      </c>
      <c r="K76" t="n">
        <v>0.6250577437613496</v>
      </c>
      <c r="L76" t="n">
        <v>0.6010309278317555</v>
      </c>
      <c r="M76" t="n">
        <v>0.8305569802255032</v>
      </c>
      <c r="N76" t="n">
        <v>1</v>
      </c>
      <c r="O76" t="n">
        <v>0.07731390579831611</v>
      </c>
      <c r="P76" t="n">
        <v>0.3335679815942918</v>
      </c>
      <c r="Q76" t="n">
        <v>75</v>
      </c>
    </row>
    <row r="77">
      <c r="A77" t="inlineStr">
        <is>
          <t>FR037649801000</t>
        </is>
      </c>
      <c r="B77" t="n">
        <v>0.5667862008477449</v>
      </c>
      <c r="C77" t="n">
        <v>0.5164986609563321</v>
      </c>
      <c r="D77" t="n">
        <v>0.6166674229760912</v>
      </c>
      <c r="E77" t="n">
        <v>74.92977999999999</v>
      </c>
      <c r="F77" t="n">
        <v>54</v>
      </c>
      <c r="G77" t="n">
        <v>100</v>
      </c>
      <c r="H77" t="n">
        <v>8.901966588996039</v>
      </c>
      <c r="I77" t="n">
        <v>46</v>
      </c>
      <c r="J77" t="n">
        <v>0</v>
      </c>
      <c r="K77" t="n">
        <v>0.7852312455209651</v>
      </c>
      <c r="L77" t="n">
        <v>0.8821058821623333</v>
      </c>
      <c r="M77" t="n">
        <v>0.8159221048670835</v>
      </c>
      <c r="N77" t="n">
        <v>0.4489826351808145</v>
      </c>
      <c r="O77" t="n">
        <v>0.0328447012702117</v>
      </c>
      <c r="P77" t="n">
        <v>0.4093773177901214</v>
      </c>
      <c r="Q77" t="n">
        <v>76</v>
      </c>
    </row>
    <row r="78">
      <c r="A78" t="inlineStr">
        <is>
          <t>UKENTH_TWU_TP000014</t>
        </is>
      </c>
      <c r="B78" t="n">
        <v>0.5637121855945505</v>
      </c>
      <c r="C78" t="n">
        <v>0.5297220836199213</v>
      </c>
      <c r="D78" t="n">
        <v>0.5955218458895999</v>
      </c>
      <c r="E78" t="n">
        <v>77.01642</v>
      </c>
      <c r="F78" t="n">
        <v>49</v>
      </c>
      <c r="G78" t="n">
        <v>107</v>
      </c>
      <c r="H78" t="n">
        <v>12.53805688229101</v>
      </c>
      <c r="I78" t="n">
        <v>58</v>
      </c>
      <c r="J78" t="n">
        <v>0</v>
      </c>
      <c r="K78" t="n">
        <v>0.8418292135325709</v>
      </c>
      <c r="L78" t="n">
        <v>0.5301969469876536</v>
      </c>
      <c r="M78" t="n">
        <v>0.9635043580483648</v>
      </c>
      <c r="N78" t="n">
        <v>0.4881994383137547</v>
      </c>
      <c r="O78" t="n">
        <v>0.5832766068733165</v>
      </c>
      <c r="P78" t="n">
        <v>0.3335679815942918</v>
      </c>
      <c r="Q78" t="n">
        <v>77</v>
      </c>
    </row>
    <row r="79">
      <c r="A79" t="inlineStr">
        <is>
          <t>DETP_SH56027</t>
        </is>
      </c>
      <c r="B79" t="n">
        <v>0.5619195328171984</v>
      </c>
      <c r="C79" t="n">
        <v>0.5026712246475973</v>
      </c>
      <c r="D79" t="n">
        <v>0.6220372062495861</v>
      </c>
      <c r="E79" t="n">
        <v>77.52336</v>
      </c>
      <c r="F79" t="n">
        <v>49</v>
      </c>
      <c r="G79" t="n">
        <v>107</v>
      </c>
      <c r="H79" t="n">
        <v>12.7604880122372</v>
      </c>
      <c r="I79" t="n">
        <v>58</v>
      </c>
      <c r="J79" t="n">
        <v>0</v>
      </c>
      <c r="K79" t="n">
        <v>0.7063865443302862</v>
      </c>
      <c r="L79" t="n">
        <v>0.9260198235304623</v>
      </c>
      <c r="M79" t="n">
        <v>0.8301875666814341</v>
      </c>
      <c r="N79" t="n">
        <v>0</v>
      </c>
      <c r="O79" t="n">
        <v>0.1705544061796123</v>
      </c>
      <c r="P79" t="n">
        <v>0.6667662674155113</v>
      </c>
      <c r="Q79" t="n">
        <v>78</v>
      </c>
    </row>
    <row r="80">
      <c r="A80" t="inlineStr">
        <is>
          <t>ES9082110001010E</t>
        </is>
      </c>
      <c r="B80" t="n">
        <v>0.5612672735004626</v>
      </c>
      <c r="C80" t="n">
        <v>0.4964079123995857</v>
      </c>
      <c r="D80" t="n">
        <v>0.6268199283977748</v>
      </c>
      <c r="E80" t="n">
        <v>78.19164000000001</v>
      </c>
      <c r="F80" t="n">
        <v>50</v>
      </c>
      <c r="G80" t="n">
        <v>109</v>
      </c>
      <c r="H80" t="n">
        <v>12.77056279536669</v>
      </c>
      <c r="I80" t="n">
        <v>59</v>
      </c>
      <c r="J80" t="n">
        <v>0</v>
      </c>
      <c r="K80" t="n">
        <v>0.4155576748648828</v>
      </c>
      <c r="L80" t="n">
        <v>0.9679653953917829</v>
      </c>
      <c r="M80" t="n">
        <v>0.8254878057034758</v>
      </c>
      <c r="N80" t="n">
        <v>0</v>
      </c>
      <c r="O80" t="n">
        <v>0.01094817862936475</v>
      </c>
      <c r="P80" t="n">
        <v>0.8233656784445503</v>
      </c>
      <c r="Q80" t="n">
        <v>79</v>
      </c>
    </row>
    <row r="81">
      <c r="A81" t="inlineStr">
        <is>
          <t>ES1410910002013E</t>
        </is>
      </c>
      <c r="B81" t="n">
        <v>0.5582482234703735</v>
      </c>
      <c r="C81" t="n">
        <v>0.4935780921374857</v>
      </c>
      <c r="D81" t="n">
        <v>0.6215723359753216</v>
      </c>
      <c r="E81" t="n">
        <v>80.6165</v>
      </c>
      <c r="F81" t="n">
        <v>50</v>
      </c>
      <c r="G81" t="n">
        <v>113</v>
      </c>
      <c r="H81" t="n">
        <v>13.49943360848932</v>
      </c>
      <c r="I81" t="n">
        <v>63</v>
      </c>
      <c r="J81" t="n">
        <v>0</v>
      </c>
      <c r="K81" t="n">
        <v>0.727272458415534</v>
      </c>
      <c r="L81" t="n">
        <v>0.8916015690437469</v>
      </c>
      <c r="M81" t="n">
        <v>0.7344507520603715</v>
      </c>
      <c r="N81" t="n">
        <v>0</v>
      </c>
      <c r="O81" t="n">
        <v>0.007002295988967423</v>
      </c>
      <c r="P81" t="n">
        <v>1</v>
      </c>
      <c r="Q81" t="n">
        <v>80</v>
      </c>
    </row>
    <row r="82">
      <c r="A82" t="inlineStr">
        <is>
          <t>ATTP_3-11</t>
        </is>
      </c>
      <c r="B82" t="n">
        <v>0.5574662723746381</v>
      </c>
      <c r="C82" t="n">
        <v>0.5088899374325745</v>
      </c>
      <c r="D82" t="n">
        <v>0.6074316293486438</v>
      </c>
      <c r="E82" t="n">
        <v>81.6752</v>
      </c>
      <c r="F82" t="n">
        <v>59</v>
      </c>
      <c r="G82" t="n">
        <v>104</v>
      </c>
      <c r="H82" t="n">
        <v>8.57549910850676</v>
      </c>
      <c r="I82" t="n">
        <v>45</v>
      </c>
      <c r="J82" t="n">
        <v>0</v>
      </c>
      <c r="K82" t="n">
        <v>0.8125481553191917</v>
      </c>
      <c r="L82" t="n">
        <v>0.7393226347041204</v>
      </c>
      <c r="M82" t="n">
        <v>0.8009135625968661</v>
      </c>
      <c r="N82" t="n">
        <v>0.4753818740461398</v>
      </c>
      <c r="O82" t="n">
        <v>0.01960876934598001</v>
      </c>
      <c r="P82" t="n">
        <v>0.6667662674155113</v>
      </c>
      <c r="Q82" t="n">
        <v>81</v>
      </c>
    </row>
    <row r="83">
      <c r="A83" t="inlineStr">
        <is>
          <t>EL300001011</t>
        </is>
      </c>
      <c r="B83" t="n">
        <v>0.5574099003770141</v>
      </c>
      <c r="C83" t="n">
        <v>0.5052458730331724</v>
      </c>
      <c r="D83" t="n">
        <v>0.6084381769360653</v>
      </c>
      <c r="E83" t="n">
        <v>81.25091999999999</v>
      </c>
      <c r="F83" t="n">
        <v>35</v>
      </c>
      <c r="G83" t="n">
        <v>127</v>
      </c>
      <c r="H83" t="n">
        <v>21.37939660405788</v>
      </c>
      <c r="I83" t="n">
        <v>92</v>
      </c>
      <c r="J83" t="n">
        <v>0</v>
      </c>
      <c r="K83" t="n">
        <v>0.7626351282280829</v>
      </c>
      <c r="L83" t="n">
        <v>0.5957825789007257</v>
      </c>
      <c r="M83" t="n">
        <v>0.442280027235556</v>
      </c>
      <c r="N83" t="n">
        <v>0</v>
      </c>
      <c r="O83" t="n">
        <v>1</v>
      </c>
      <c r="P83" t="n">
        <v>0.6667662674155113</v>
      </c>
      <c r="Q83" t="n">
        <v>82</v>
      </c>
    </row>
    <row r="84">
      <c r="A84" t="inlineStr">
        <is>
          <t>BERW6207901</t>
        </is>
      </c>
      <c r="B84" t="n">
        <v>0.5564553879722358</v>
      </c>
      <c r="C84" t="n">
        <v>0.4900965434324042</v>
      </c>
      <c r="D84" t="n">
        <v>0.6232937912251933</v>
      </c>
      <c r="E84" t="n">
        <v>82.24696</v>
      </c>
      <c r="F84" t="n">
        <v>52</v>
      </c>
      <c r="G84" t="n">
        <v>112</v>
      </c>
      <c r="H84" t="n">
        <v>12.58666479884168</v>
      </c>
      <c r="I84" t="n">
        <v>60</v>
      </c>
      <c r="J84" t="n">
        <v>0</v>
      </c>
      <c r="K84" t="n">
        <v>0.6956499761428094</v>
      </c>
      <c r="L84" t="n">
        <v>0.9719948705895829</v>
      </c>
      <c r="M84" t="n">
        <v>0.8762178272467035</v>
      </c>
      <c r="N84" t="n">
        <v>0</v>
      </c>
      <c r="O84" t="n">
        <v>0.0274377576461173</v>
      </c>
      <c r="P84" t="n">
        <v>0.666801714178788</v>
      </c>
      <c r="Q84" t="n">
        <v>83</v>
      </c>
    </row>
    <row r="85">
      <c r="A85" t="inlineStr">
        <is>
          <t>DETP_NW35</t>
        </is>
      </c>
      <c r="B85" t="n">
        <v>0.5558699395031379</v>
      </c>
      <c r="C85" t="n">
        <v>0.5098432288146501</v>
      </c>
      <c r="D85" t="n">
        <v>0.6025895489525449</v>
      </c>
      <c r="E85" t="n">
        <v>83.31044</v>
      </c>
      <c r="F85" t="n">
        <v>68</v>
      </c>
      <c r="G85" t="n">
        <v>102</v>
      </c>
      <c r="H85" t="n">
        <v>6.912963691962918</v>
      </c>
      <c r="I85" t="n">
        <v>34</v>
      </c>
      <c r="J85" t="n">
        <v>0</v>
      </c>
      <c r="K85" t="n">
        <v>0.6493705596512417</v>
      </c>
      <c r="L85" t="n">
        <v>0.7311827311686389</v>
      </c>
      <c r="M85" t="n">
        <v>0.8752472619664338</v>
      </c>
      <c r="N85" t="n">
        <v>0.5652553300897158</v>
      </c>
      <c r="O85" t="n">
        <v>0.02810364170833077</v>
      </c>
      <c r="P85" t="n">
        <v>0.521806129719115</v>
      </c>
      <c r="Q85" t="n">
        <v>84</v>
      </c>
    </row>
    <row r="86">
      <c r="A86" t="inlineStr">
        <is>
          <t>IETP_D0034</t>
        </is>
      </c>
      <c r="B86" t="n">
        <v>0.5554942225197694</v>
      </c>
      <c r="C86" t="n">
        <v>0.5045740008226798</v>
      </c>
      <c r="D86" t="n">
        <v>0.6065854293041807</v>
      </c>
      <c r="E86" t="n">
        <v>83.49120000000001</v>
      </c>
      <c r="F86" t="n">
        <v>67</v>
      </c>
      <c r="G86" t="n">
        <v>105</v>
      </c>
      <c r="H86" t="n">
        <v>7.570860093806814</v>
      </c>
      <c r="I86" t="n">
        <v>38</v>
      </c>
      <c r="J86" t="n">
        <v>0</v>
      </c>
      <c r="K86" t="n">
        <v>1</v>
      </c>
      <c r="L86" t="n">
        <v>0.7502383210180809</v>
      </c>
      <c r="M86" t="n">
        <v>0.9739086770625791</v>
      </c>
      <c r="N86" t="n">
        <v>0.5112048574021908</v>
      </c>
      <c r="O86" t="n">
        <v>0.07853785533109553</v>
      </c>
      <c r="P86" t="n">
        <v>0.3335679815942918</v>
      </c>
      <c r="Q86" t="n">
        <v>85</v>
      </c>
    </row>
    <row r="87">
      <c r="A87" t="inlineStr">
        <is>
          <t>UKENAN_AW_TP000308</t>
        </is>
      </c>
      <c r="B87" t="n">
        <v>0.5547284863439043</v>
      </c>
      <c r="C87" t="n">
        <v>0.4871117891863349</v>
      </c>
      <c r="D87" t="n">
        <v>0.6231608495590408</v>
      </c>
      <c r="E87" t="n">
        <v>83.56108</v>
      </c>
      <c r="F87" t="n">
        <v>53</v>
      </c>
      <c r="G87" t="n">
        <v>115</v>
      </c>
      <c r="H87" t="n">
        <v>13.05119416887216</v>
      </c>
      <c r="I87" t="n">
        <v>62</v>
      </c>
      <c r="J87" t="n">
        <v>0</v>
      </c>
      <c r="K87" t="n">
        <v>0.9994655227854992</v>
      </c>
      <c r="L87" t="n">
        <v>0.9794857300666514</v>
      </c>
      <c r="M87" t="n">
        <v>0.9468655445573702</v>
      </c>
      <c r="N87" t="n">
        <v>0</v>
      </c>
      <c r="O87" t="n">
        <v>0.005518416450513458</v>
      </c>
      <c r="P87" t="n">
        <v>0.550752016888421</v>
      </c>
      <c r="Q87" t="n">
        <v>86</v>
      </c>
    </row>
    <row r="88">
      <c r="A88" t="inlineStr">
        <is>
          <t>DETP_NW316</t>
        </is>
      </c>
      <c r="B88" t="n">
        <v>0.5520067498325628</v>
      </c>
      <c r="C88" t="n">
        <v>0.5072316012441785</v>
      </c>
      <c r="D88" t="n">
        <v>0.5964966672472365</v>
      </c>
      <c r="E88" t="n">
        <v>85.68689999999999</v>
      </c>
      <c r="F88" t="n">
        <v>66</v>
      </c>
      <c r="G88" t="n">
        <v>105</v>
      </c>
      <c r="H88" t="n">
        <v>7.840812992923225</v>
      </c>
      <c r="I88" t="n">
        <v>39</v>
      </c>
      <c r="J88" t="n">
        <v>0</v>
      </c>
      <c r="K88" t="n">
        <v>0.6249046190159492</v>
      </c>
      <c r="L88" t="n">
        <v>0.6367631681196618</v>
      </c>
      <c r="M88" t="n">
        <v>0.9542312262227994</v>
      </c>
      <c r="N88" t="n">
        <v>0.536900043510434</v>
      </c>
      <c r="O88" t="n">
        <v>0.04623373900465513</v>
      </c>
      <c r="P88" t="n">
        <v>0.666801714178788</v>
      </c>
      <c r="Q88" t="n">
        <v>87</v>
      </c>
    </row>
    <row r="89">
      <c r="A89" t="inlineStr">
        <is>
          <t>FR026751900405</t>
        </is>
      </c>
      <c r="B89" t="n">
        <v>0.5515702699696609</v>
      </c>
      <c r="C89" t="n">
        <v>0.5044055089254513</v>
      </c>
      <c r="D89" t="n">
        <v>0.5968733516879444</v>
      </c>
      <c r="E89" t="n">
        <v>87.06036</v>
      </c>
      <c r="F89" t="n">
        <v>60</v>
      </c>
      <c r="G89" t="n">
        <v>122</v>
      </c>
      <c r="H89" t="n">
        <v>12.31387821404366</v>
      </c>
      <c r="I89" t="n">
        <v>62</v>
      </c>
      <c r="J89" t="n">
        <v>0</v>
      </c>
      <c r="K89" t="n">
        <v>0.3401113727249368</v>
      </c>
      <c r="L89" t="n">
        <v>0.8540623427169011</v>
      </c>
      <c r="M89" t="n">
        <v>0.5685709789174523</v>
      </c>
      <c r="N89" t="n">
        <v>0.6370666666662731</v>
      </c>
      <c r="O89" t="n">
        <v>0.1024159207257254</v>
      </c>
      <c r="P89" t="n">
        <v>0.3331982858212192</v>
      </c>
      <c r="Q89" t="n">
        <v>88</v>
      </c>
    </row>
    <row r="90">
      <c r="A90" t="inlineStr">
        <is>
          <t>PLZA0011</t>
        </is>
      </c>
      <c r="B90" t="n">
        <v>0.5503649580537086</v>
      </c>
      <c r="C90" t="n">
        <v>0.5060465797226417</v>
      </c>
      <c r="D90" t="n">
        <v>0.5951174578640652</v>
      </c>
      <c r="E90" t="n">
        <v>86.84318</v>
      </c>
      <c r="F90" t="n">
        <v>68</v>
      </c>
      <c r="G90" t="n">
        <v>103</v>
      </c>
      <c r="H90" t="n">
        <v>6.670561257315488</v>
      </c>
      <c r="I90" t="n">
        <v>35</v>
      </c>
      <c r="J90" t="n">
        <v>0</v>
      </c>
      <c r="K90" t="n">
        <v>0.674029801967642</v>
      </c>
      <c r="L90" t="n">
        <v>0.6785595179186723</v>
      </c>
      <c r="M90" t="n">
        <v>0.8869064065600255</v>
      </c>
      <c r="N90" t="n">
        <v>0.4441055131914311</v>
      </c>
      <c r="O90" t="n">
        <v>0.08917394957238327</v>
      </c>
      <c r="P90" t="n">
        <v>0.666801714178788</v>
      </c>
      <c r="Q90" t="n">
        <v>89</v>
      </c>
    </row>
    <row r="91">
      <c r="A91" t="inlineStr">
        <is>
          <t>DETP_NW1204</t>
        </is>
      </c>
      <c r="B91" t="n">
        <v>0.5405735796058082</v>
      </c>
      <c r="C91" t="n">
        <v>0.4960677616234623</v>
      </c>
      <c r="D91" t="n">
        <v>0.5849461824254705</v>
      </c>
      <c r="E91" t="n">
        <v>94.79118</v>
      </c>
      <c r="F91" t="n">
        <v>78</v>
      </c>
      <c r="G91" t="n">
        <v>114</v>
      </c>
      <c r="H91" t="n">
        <v>7.410814679075801</v>
      </c>
      <c r="I91" t="n">
        <v>36</v>
      </c>
      <c r="J91" t="n">
        <v>0</v>
      </c>
      <c r="K91" t="n">
        <v>0.6441356643406808</v>
      </c>
      <c r="L91" t="n">
        <v>0.6863489294341633</v>
      </c>
      <c r="M91" t="n">
        <v>0.9791043634864134</v>
      </c>
      <c r="N91" t="n">
        <v>0.5265631541476665</v>
      </c>
      <c r="O91" t="n">
        <v>0.1304091907377224</v>
      </c>
      <c r="P91" t="n">
        <v>0.3579774093304168</v>
      </c>
      <c r="Q91" t="n">
        <v>90</v>
      </c>
    </row>
    <row r="92">
      <c r="A92" t="inlineStr">
        <is>
          <t>IT19CT00G7001DE001</t>
        </is>
      </c>
      <c r="B92" t="n">
        <v>0.5395870703684955</v>
      </c>
      <c r="C92" t="n">
        <v>0.4776448613546738</v>
      </c>
      <c r="D92" t="n">
        <v>0.6014146878089104</v>
      </c>
      <c r="E92" t="n">
        <v>95.81506</v>
      </c>
      <c r="F92" t="n">
        <v>60</v>
      </c>
      <c r="G92" t="n">
        <v>128</v>
      </c>
      <c r="H92" t="n">
        <v>13.72790651178873</v>
      </c>
      <c r="I92" t="n">
        <v>68</v>
      </c>
      <c r="J92" t="n">
        <v>0</v>
      </c>
      <c r="K92" t="n">
        <v>0.5787300937345927</v>
      </c>
      <c r="L92" t="n">
        <v>0.8999307420455345</v>
      </c>
      <c r="M92" t="n">
        <v>0.9075317116928047</v>
      </c>
      <c r="N92" t="n">
        <v>0</v>
      </c>
      <c r="O92" t="n">
        <v>0.06618894853184557</v>
      </c>
      <c r="P92" t="n">
        <v>0.6664320184056974</v>
      </c>
      <c r="Q92" t="n">
        <v>91</v>
      </c>
    </row>
    <row r="93">
      <c r="A93" t="inlineStr">
        <is>
          <t>FR060934172001</t>
        </is>
      </c>
      <c r="B93" t="n">
        <v>0.5394134326722233</v>
      </c>
      <c r="C93" t="n">
        <v>0.4878350040160899</v>
      </c>
      <c r="D93" t="n">
        <v>0.5904391648042457</v>
      </c>
      <c r="E93" t="n">
        <v>95.9961</v>
      </c>
      <c r="F93" t="n">
        <v>74</v>
      </c>
      <c r="G93" t="n">
        <v>123</v>
      </c>
      <c r="H93" t="n">
        <v>10.17682881795669</v>
      </c>
      <c r="I93" t="n">
        <v>49</v>
      </c>
      <c r="J93" t="n">
        <v>0</v>
      </c>
      <c r="K93" t="n">
        <v>0.8890917480233927</v>
      </c>
      <c r="L93" t="n">
        <v>0.7415689856109769</v>
      </c>
      <c r="M93" t="n">
        <v>0.935033406026019</v>
      </c>
      <c r="N93" t="n">
        <v>0.5403872631616161</v>
      </c>
      <c r="O93" t="n">
        <v>0.01996119364596933</v>
      </c>
      <c r="P93" t="n">
        <v>0.3332337325844886</v>
      </c>
      <c r="Q93" t="n">
        <v>92</v>
      </c>
    </row>
    <row r="94">
      <c r="A94" t="inlineStr">
        <is>
          <t>NL11014</t>
        </is>
      </c>
      <c r="B94" t="n">
        <v>0.5393110595094863</v>
      </c>
      <c r="C94" t="n">
        <v>0.4966730390968064</v>
      </c>
      <c r="D94" t="n">
        <v>0.5831894356903935</v>
      </c>
      <c r="E94" t="n">
        <v>95.6765</v>
      </c>
      <c r="F94" t="n">
        <v>76</v>
      </c>
      <c r="G94" t="n">
        <v>114</v>
      </c>
      <c r="H94" t="n">
        <v>7.644185224731618</v>
      </c>
      <c r="I94" t="n">
        <v>38</v>
      </c>
      <c r="J94" t="n">
        <v>0</v>
      </c>
      <c r="K94" t="n">
        <v>0.8537353962899212</v>
      </c>
      <c r="L94" t="n">
        <v>0.7069685979863004</v>
      </c>
      <c r="M94" t="n">
        <v>0.5985802298714543</v>
      </c>
      <c r="N94" t="n">
        <v>0.4489826351808145</v>
      </c>
      <c r="O94" t="n">
        <v>0.1322205120923346</v>
      </c>
      <c r="P94" t="n">
        <v>0.666801714178788</v>
      </c>
      <c r="Q94" t="n">
        <v>93</v>
      </c>
    </row>
    <row r="95">
      <c r="A95" t="inlineStr">
        <is>
          <t>ES7240890002010E</t>
        </is>
      </c>
      <c r="B95" t="n">
        <v>0.53884108797109</v>
      </c>
      <c r="C95" t="n">
        <v>0.4734242198051045</v>
      </c>
      <c r="D95" t="n">
        <v>0.6048805080778042</v>
      </c>
      <c r="E95" t="n">
        <v>96.04554</v>
      </c>
      <c r="F95" t="n">
        <v>65</v>
      </c>
      <c r="G95" t="n">
        <v>123</v>
      </c>
      <c r="H95" t="n">
        <v>12.15712902409042</v>
      </c>
      <c r="I95" t="n">
        <v>58</v>
      </c>
      <c r="J95" t="n">
        <v>0</v>
      </c>
      <c r="K95" t="n">
        <v>0.7091833477290345</v>
      </c>
      <c r="L95" t="n">
        <v>0.94777735517003</v>
      </c>
      <c r="M95" t="n">
        <v>0.9612380421248511</v>
      </c>
      <c r="N95" t="n">
        <v>0</v>
      </c>
      <c r="O95" t="n">
        <v>0.003620062550994051</v>
      </c>
      <c r="P95" t="n">
        <v>0.5608902875760687</v>
      </c>
      <c r="Q95" t="n">
        <v>94</v>
      </c>
    </row>
    <row r="96">
      <c r="A96" t="inlineStr">
        <is>
          <t>RO5TM_528</t>
        </is>
      </c>
      <c r="B96" t="n">
        <v>0.5374185500177567</v>
      </c>
      <c r="C96" t="n">
        <v>0.494676668540977</v>
      </c>
      <c r="D96" t="n">
        <v>0.5807266218511733</v>
      </c>
      <c r="E96" t="n">
        <v>97.54436</v>
      </c>
      <c r="F96" t="n">
        <v>79</v>
      </c>
      <c r="G96" t="n">
        <v>117</v>
      </c>
      <c r="H96" t="n">
        <v>7.763019527890767</v>
      </c>
      <c r="I96" t="n">
        <v>38</v>
      </c>
      <c r="J96" t="n">
        <v>0</v>
      </c>
      <c r="K96" t="n">
        <v>0.6795412186327299</v>
      </c>
      <c r="L96" t="n">
        <v>0.6641859442145964</v>
      </c>
      <c r="M96" t="n">
        <v>0.8782320963634763</v>
      </c>
      <c r="N96" t="n">
        <v>0.5262999723116334</v>
      </c>
      <c r="O96" t="n">
        <v>0.04614962772195207</v>
      </c>
      <c r="P96" t="n">
        <v>0.5690043672630859</v>
      </c>
      <c r="Q96" t="n">
        <v>95</v>
      </c>
    </row>
    <row r="97">
      <c r="A97" t="inlineStr">
        <is>
          <t>FR0531555V018</t>
        </is>
      </c>
      <c r="B97" t="n">
        <v>0.5365194190176242</v>
      </c>
      <c r="C97" t="n">
        <v>0.4888985375826201</v>
      </c>
      <c r="D97" t="n">
        <v>0.5841101078149341</v>
      </c>
      <c r="E97" t="n">
        <v>98.41930000000001</v>
      </c>
      <c r="F97" t="n">
        <v>75</v>
      </c>
      <c r="G97" t="n">
        <v>126</v>
      </c>
      <c r="H97" t="n">
        <v>10.69748790651353</v>
      </c>
      <c r="I97" t="n">
        <v>51</v>
      </c>
      <c r="J97" t="n">
        <v>0</v>
      </c>
      <c r="K97" t="n">
        <v>0.5186975259603643</v>
      </c>
      <c r="L97" t="n">
        <v>0.7460628403029492</v>
      </c>
      <c r="M97" t="n">
        <v>0.7891714503344999</v>
      </c>
      <c r="N97" t="n">
        <v>0.5920086230763127</v>
      </c>
      <c r="O97" t="n">
        <v>0.09468578523056465</v>
      </c>
      <c r="P97" t="n">
        <v>0.3332337325844886</v>
      </c>
      <c r="Q97" t="n">
        <v>96</v>
      </c>
    </row>
    <row r="98">
      <c r="A98" t="inlineStr">
        <is>
          <t>ES10462501014011E</t>
        </is>
      </c>
      <c r="B98" t="n">
        <v>0.5363547315141002</v>
      </c>
      <c r="C98" t="n">
        <v>0.4946214501497467</v>
      </c>
      <c r="D98" t="n">
        <v>0.5776975592143101</v>
      </c>
      <c r="E98" t="n">
        <v>97.83448</v>
      </c>
      <c r="F98" t="n">
        <v>61</v>
      </c>
      <c r="G98" t="n">
        <v>128</v>
      </c>
      <c r="H98" t="n">
        <v>13.82301280942838</v>
      </c>
      <c r="I98" t="n">
        <v>67</v>
      </c>
      <c r="J98" t="n">
        <v>0</v>
      </c>
      <c r="K98" t="n">
        <v>0.5946556943961134</v>
      </c>
      <c r="L98" t="n">
        <v>0.5670113042987016</v>
      </c>
      <c r="M98" t="n">
        <v>0.9649377840435119</v>
      </c>
      <c r="N98" t="n">
        <v>0</v>
      </c>
      <c r="O98" t="n">
        <v>0.5483534480400515</v>
      </c>
      <c r="P98" t="n">
        <v>0.7610969132904468</v>
      </c>
      <c r="Q98" t="n">
        <v>97</v>
      </c>
    </row>
    <row r="99">
      <c r="A99" t="inlineStr">
        <is>
          <t>IT09RT0017</t>
        </is>
      </c>
      <c r="B99" t="n">
        <v>0.5346868103646725</v>
      </c>
      <c r="C99" t="n">
        <v>0.4752095997753742</v>
      </c>
      <c r="D99" t="n">
        <v>0.5943694170384289</v>
      </c>
      <c r="E99" t="n">
        <v>99.59475999999999</v>
      </c>
      <c r="F99" t="n">
        <v>71</v>
      </c>
      <c r="G99" t="n">
        <v>126.0049999999974</v>
      </c>
      <c r="H99" t="n">
        <v>11.4800531593892</v>
      </c>
      <c r="I99" t="n">
        <v>55.00499999999738</v>
      </c>
      <c r="J99" t="n">
        <v>0</v>
      </c>
      <c r="K99" t="n">
        <v>0.3848455180474424</v>
      </c>
      <c r="L99" t="n">
        <v>0.844703769324218</v>
      </c>
      <c r="M99" t="n">
        <v>0.9983923049772043</v>
      </c>
      <c r="N99" t="n">
        <v>0</v>
      </c>
      <c r="O99" t="n">
        <v>0.111179554546652</v>
      </c>
      <c r="P99" t="n">
        <v>0.666801714178788</v>
      </c>
      <c r="Q99" t="n">
        <v>98</v>
      </c>
    </row>
    <row r="100">
      <c r="A100" t="inlineStr">
        <is>
          <t>ES10030140002011E</t>
        </is>
      </c>
      <c r="B100" t="n">
        <v>0.5329725111944711</v>
      </c>
      <c r="C100" t="n">
        <v>0.4706770961178546</v>
      </c>
      <c r="D100" t="n">
        <v>0.5947994974806592</v>
      </c>
      <c r="E100" t="n">
        <v>101.23472</v>
      </c>
      <c r="F100" t="n">
        <v>72</v>
      </c>
      <c r="G100" t="n">
        <v>128</v>
      </c>
      <c r="H100" t="n">
        <v>11.58548689186639</v>
      </c>
      <c r="I100" t="n">
        <v>56</v>
      </c>
      <c r="J100" t="n">
        <v>0</v>
      </c>
      <c r="K100" t="n">
        <v>0.6690155627147653</v>
      </c>
      <c r="L100" t="n">
        <v>0.8794629558276689</v>
      </c>
      <c r="M100" t="n">
        <v>0.9150227194403361</v>
      </c>
      <c r="N100" t="n">
        <v>0</v>
      </c>
      <c r="O100" t="n">
        <v>0.04928021396354353</v>
      </c>
      <c r="P100" t="n">
        <v>0.666801714178788</v>
      </c>
      <c r="Q100" t="n">
        <v>99</v>
      </c>
    </row>
    <row r="101">
      <c r="A101" t="inlineStr">
        <is>
          <t>DETP_NW601</t>
        </is>
      </c>
      <c r="B101" t="n">
        <v>0.5326727351759333</v>
      </c>
      <c r="C101" t="n">
        <v>0.4933708577133849</v>
      </c>
      <c r="D101" t="n">
        <v>0.5716099628687421</v>
      </c>
      <c r="E101" t="n">
        <v>101.34636</v>
      </c>
      <c r="F101" t="n">
        <v>83</v>
      </c>
      <c r="G101" t="n">
        <v>120</v>
      </c>
      <c r="H101" t="n">
        <v>7.786267061333042</v>
      </c>
      <c r="I101" t="n">
        <v>37</v>
      </c>
      <c r="J101" t="n">
        <v>0</v>
      </c>
      <c r="K101" t="n">
        <v>0.6358223398354184</v>
      </c>
      <c r="L101" t="n">
        <v>0.6599063630215983</v>
      </c>
      <c r="M101" t="n">
        <v>0.8729227264197478</v>
      </c>
      <c r="N101" t="n">
        <v>0.5224815118078825</v>
      </c>
      <c r="O101" t="n">
        <v>0.2301247258674362</v>
      </c>
      <c r="P101" t="n">
        <v>0.3335679815942918</v>
      </c>
      <c r="Q101" t="n">
        <v>100</v>
      </c>
    </row>
    <row r="102">
      <c r="A102" t="inlineStr">
        <is>
          <t>EL122001013</t>
        </is>
      </c>
      <c r="B102" t="n">
        <v>0.5317598168541469</v>
      </c>
      <c r="C102" t="n">
        <v>0.4738299978059128</v>
      </c>
      <c r="D102" t="n">
        <v>0.5916138052871229</v>
      </c>
      <c r="E102" t="n">
        <v>101.76684</v>
      </c>
      <c r="F102" t="n">
        <v>66</v>
      </c>
      <c r="G102" t="n">
        <v>131</v>
      </c>
      <c r="H102" t="n">
        <v>13.53568307897342</v>
      </c>
      <c r="I102" t="n">
        <v>65</v>
      </c>
      <c r="J102" t="n">
        <v>0</v>
      </c>
      <c r="K102" t="n">
        <v>0.4048136353120929</v>
      </c>
      <c r="L102" t="n">
        <v>0.9552955432110408</v>
      </c>
      <c r="M102" t="n">
        <v>0.513554955906021</v>
      </c>
      <c r="N102" t="n">
        <v>0</v>
      </c>
      <c r="O102" t="n">
        <v>0.2033262626284332</v>
      </c>
      <c r="P102" t="n">
        <v>0.6667662674155113</v>
      </c>
      <c r="Q102" t="n">
        <v>101</v>
      </c>
    </row>
    <row r="103">
      <c r="A103" t="inlineStr">
        <is>
          <t>DETP_NW2104</t>
        </is>
      </c>
      <c r="B103" t="n">
        <v>0.5310321395324455</v>
      </c>
      <c r="C103" t="n">
        <v>0.4864871639360385</v>
      </c>
      <c r="D103" t="n">
        <v>0.5750252971475452</v>
      </c>
      <c r="E103" t="n">
        <v>102.7364</v>
      </c>
      <c r="F103" t="n">
        <v>81</v>
      </c>
      <c r="G103" t="n">
        <v>124</v>
      </c>
      <c r="H103" t="n">
        <v>9.310073847183046</v>
      </c>
      <c r="I103" t="n">
        <v>43</v>
      </c>
      <c r="J103" t="n">
        <v>0</v>
      </c>
      <c r="K103" t="n">
        <v>0.6415637881807645</v>
      </c>
      <c r="L103" t="n">
        <v>0.7010456820337048</v>
      </c>
      <c r="M103" t="n">
        <v>0.7251444564919249</v>
      </c>
      <c r="N103" t="n">
        <v>0.6514438669362355</v>
      </c>
      <c r="O103" t="n">
        <v>0.1116315899663192</v>
      </c>
      <c r="P103" t="n">
        <v>0.3335679815942918</v>
      </c>
      <c r="Q103" t="n">
        <v>102</v>
      </c>
    </row>
    <row r="104">
      <c r="A104" t="inlineStr">
        <is>
          <t>DK6070012</t>
        </is>
      </c>
      <c r="B104" t="n">
        <v>0.5302070133493743</v>
      </c>
      <c r="C104" t="n">
        <v>0.483913068635491</v>
      </c>
      <c r="D104" t="n">
        <v>0.5773257660818266</v>
      </c>
      <c r="E104" t="n">
        <v>103.49246</v>
      </c>
      <c r="F104" t="n">
        <v>84</v>
      </c>
      <c r="G104" t="n">
        <v>123</v>
      </c>
      <c r="H104" t="n">
        <v>7.887038934124811</v>
      </c>
      <c r="I104" t="n">
        <v>39</v>
      </c>
      <c r="J104" t="n">
        <v>0</v>
      </c>
      <c r="K104" t="n">
        <v>0.8488146094170437</v>
      </c>
      <c r="L104" t="n">
        <v>0.7215928668819348</v>
      </c>
      <c r="M104" t="n">
        <v>0.6070305176776956</v>
      </c>
      <c r="N104" t="n">
        <v>0.4635641058109017</v>
      </c>
      <c r="O104" t="n">
        <v>0.03630226699618079</v>
      </c>
      <c r="P104" t="n">
        <v>0.666801714178788</v>
      </c>
      <c r="Q104" t="n">
        <v>103</v>
      </c>
    </row>
    <row r="105">
      <c r="A105" t="inlineStr">
        <is>
          <t>UKENTH_TWU_TP000054</t>
        </is>
      </c>
      <c r="B105" t="n">
        <v>0.5291157290263324</v>
      </c>
      <c r="C105" t="n">
        <v>0.4905965027746794</v>
      </c>
      <c r="D105" t="n">
        <v>0.56817508426858</v>
      </c>
      <c r="E105" t="n">
        <v>103.71986</v>
      </c>
      <c r="F105" t="n">
        <v>81</v>
      </c>
      <c r="G105" t="n">
        <v>124</v>
      </c>
      <c r="H105" t="n">
        <v>9.055220680933253</v>
      </c>
      <c r="I105" t="n">
        <v>43</v>
      </c>
      <c r="J105" t="n">
        <v>0</v>
      </c>
      <c r="K105" t="n">
        <v>0.8377198625726077</v>
      </c>
      <c r="L105" t="n">
        <v>0.5103515784303744</v>
      </c>
      <c r="M105" t="n">
        <v>0.9194264409996754</v>
      </c>
      <c r="N105" t="n">
        <v>0.5227204778286596</v>
      </c>
      <c r="O105" t="n">
        <v>0.1380963927078729</v>
      </c>
      <c r="P105" t="n">
        <v>0.6942989598549687</v>
      </c>
      <c r="Q105" t="n">
        <v>104</v>
      </c>
    </row>
    <row r="106">
      <c r="A106" t="inlineStr">
        <is>
          <t>ES3330242402020E</t>
        </is>
      </c>
      <c r="B106" t="n">
        <v>0.5290751087904626</v>
      </c>
      <c r="C106" t="n">
        <v>0.4635308673107632</v>
      </c>
      <c r="D106" t="n">
        <v>0.5961872990242136</v>
      </c>
      <c r="E106" t="n">
        <v>104.17188</v>
      </c>
      <c r="F106" t="n">
        <v>73</v>
      </c>
      <c r="G106" t="n">
        <v>130</v>
      </c>
      <c r="H106" t="n">
        <v>12.52192705878806</v>
      </c>
      <c r="I106" t="n">
        <v>57</v>
      </c>
      <c r="J106" t="n">
        <v>0</v>
      </c>
      <c r="K106" t="n">
        <v>0.731602091503056</v>
      </c>
      <c r="L106" t="n">
        <v>0.9927649044949453</v>
      </c>
      <c r="M106" t="n">
        <v>0.8069386190353004</v>
      </c>
      <c r="N106" t="n">
        <v>0</v>
      </c>
      <c r="O106" t="n">
        <v>0.0128985435413803</v>
      </c>
      <c r="P106" t="n">
        <v>0.500073813386385</v>
      </c>
      <c r="Q106" t="n">
        <v>105</v>
      </c>
    </row>
    <row r="107">
      <c r="A107" t="inlineStr">
        <is>
          <t>FR037800501000</t>
        </is>
      </c>
      <c r="B107" t="n">
        <v>0.5278342942374598</v>
      </c>
      <c r="C107" t="n">
        <v>0.478413882307933</v>
      </c>
      <c r="D107" t="n">
        <v>0.5772336900260308</v>
      </c>
      <c r="E107" t="n">
        <v>104.66216</v>
      </c>
      <c r="F107" t="n">
        <v>52</v>
      </c>
      <c r="G107" t="n">
        <v>154</v>
      </c>
      <c r="H107" t="n">
        <v>23.43305921416123</v>
      </c>
      <c r="I107" t="n">
        <v>102</v>
      </c>
      <c r="J107" t="n">
        <v>0</v>
      </c>
      <c r="K107" t="n">
        <v>0.6921095859102521</v>
      </c>
      <c r="L107" t="n">
        <v>0.2998257345598801</v>
      </c>
      <c r="M107" t="n">
        <v>0.9230448266885805</v>
      </c>
      <c r="N107" t="n">
        <v>0.6171599224718652</v>
      </c>
      <c r="O107" t="n">
        <v>1</v>
      </c>
      <c r="P107" t="n">
        <v>0</v>
      </c>
      <c r="Q107" t="n">
        <v>106</v>
      </c>
    </row>
    <row r="108">
      <c r="A108" t="inlineStr">
        <is>
          <t>CZ4205-763691-26161516-4/1U</t>
        </is>
      </c>
      <c r="B108" t="n">
        <v>0.5252242128432567</v>
      </c>
      <c r="C108" t="n">
        <v>0.4839807375929037</v>
      </c>
      <c r="D108" t="n">
        <v>0.5667774759641395</v>
      </c>
      <c r="E108" t="n">
        <v>107.21094</v>
      </c>
      <c r="F108" t="n">
        <v>78</v>
      </c>
      <c r="G108" t="n">
        <v>134</v>
      </c>
      <c r="H108" t="n">
        <v>11.8911767422911</v>
      </c>
      <c r="I108" t="n">
        <v>56</v>
      </c>
      <c r="J108" t="n">
        <v>0</v>
      </c>
      <c r="K108" t="n">
        <v>0.5591474984730075</v>
      </c>
      <c r="L108" t="n">
        <v>0.5449666919631033</v>
      </c>
      <c r="M108" t="n">
        <v>0.581391087099301</v>
      </c>
      <c r="N108" t="n">
        <v>0.5007590680751836</v>
      </c>
      <c r="O108" t="n">
        <v>0.09221681764334269</v>
      </c>
      <c r="P108" t="n">
        <v>1</v>
      </c>
      <c r="Q108" t="n">
        <v>107</v>
      </c>
    </row>
    <row r="109">
      <c r="A109" t="inlineStr">
        <is>
          <t>PLLE0010</t>
        </is>
      </c>
      <c r="B109" t="n">
        <v>0.524510567407986</v>
      </c>
      <c r="C109" t="n">
        <v>0.4886560657127876</v>
      </c>
      <c r="D109" t="n">
        <v>0.5611161732285281</v>
      </c>
      <c r="E109" t="n">
        <v>107.9097</v>
      </c>
      <c r="F109" t="n">
        <v>84</v>
      </c>
      <c r="G109" t="n">
        <v>129</v>
      </c>
      <c r="H109" t="n">
        <v>9.397901143872504</v>
      </c>
      <c r="I109" t="n">
        <v>45</v>
      </c>
      <c r="J109" t="n">
        <v>0</v>
      </c>
      <c r="K109" t="n">
        <v>0.55466452554179</v>
      </c>
      <c r="L109" t="n">
        <v>0.5100044386867282</v>
      </c>
      <c r="M109" t="n">
        <v>0.8466819125227785</v>
      </c>
      <c r="N109" t="n">
        <v>0.565314469364243</v>
      </c>
      <c r="O109" t="n">
        <v>0.1827943261030862</v>
      </c>
      <c r="P109" t="n">
        <v>0.666801714178788</v>
      </c>
      <c r="Q109" t="n">
        <v>108</v>
      </c>
    </row>
    <row r="110">
      <c r="A110" t="inlineStr">
        <is>
          <t>LV100175</t>
        </is>
      </c>
      <c r="B110" t="n">
        <v>0.5240641810699307</v>
      </c>
      <c r="C110" t="n">
        <v>0.4724582405902978</v>
      </c>
      <c r="D110" t="n">
        <v>0.5755194129913642</v>
      </c>
      <c r="E110" t="n">
        <v>108.19826</v>
      </c>
      <c r="F110" t="n">
        <v>67</v>
      </c>
      <c r="G110" t="n">
        <v>148</v>
      </c>
      <c r="H110" t="n">
        <v>18.36521802136789</v>
      </c>
      <c r="I110" t="n">
        <v>81</v>
      </c>
      <c r="J110" t="n">
        <v>0</v>
      </c>
      <c r="K110" t="n">
        <v>0.7221724993115494</v>
      </c>
      <c r="L110" t="n">
        <v>0.3862820286884407</v>
      </c>
      <c r="M110" t="n">
        <v>0.9621429303088409</v>
      </c>
      <c r="N110" t="n">
        <v>1</v>
      </c>
      <c r="O110" t="n">
        <v>0.1411600809742584</v>
      </c>
      <c r="P110" t="n">
        <v>0.3332337325844886</v>
      </c>
      <c r="Q110" t="n">
        <v>109</v>
      </c>
    </row>
    <row r="111">
      <c r="A111" t="inlineStr">
        <is>
          <t>UKENNW_UU_TP000133</t>
        </is>
      </c>
      <c r="B111" t="n">
        <v>0.5230163590950897</v>
      </c>
      <c r="C111" t="n">
        <v>0.4589977369046336</v>
      </c>
      <c r="D111" t="n">
        <v>0.5882431602495179</v>
      </c>
      <c r="E111" t="n">
        <v>109.6529</v>
      </c>
      <c r="F111" t="n">
        <v>79</v>
      </c>
      <c r="G111" t="n">
        <v>134</v>
      </c>
      <c r="H111" t="n">
        <v>11.95504335374784</v>
      </c>
      <c r="I111" t="n">
        <v>55</v>
      </c>
      <c r="J111" t="n">
        <v>0</v>
      </c>
      <c r="K111" t="n">
        <v>0.8110763618415514</v>
      </c>
      <c r="L111" t="n">
        <v>0.9604604806058922</v>
      </c>
      <c r="M111" t="n">
        <v>0.8151892603703381</v>
      </c>
      <c r="N111" t="n">
        <v>0</v>
      </c>
      <c r="O111" t="n">
        <v>0.02069896928318739</v>
      </c>
      <c r="P111" t="n">
        <v>0.5021065749645398</v>
      </c>
      <c r="Q111" t="n">
        <v>110</v>
      </c>
    </row>
    <row r="112">
      <c r="A112" t="inlineStr">
        <is>
          <t>ES6390850005010E</t>
        </is>
      </c>
      <c r="B112" t="n">
        <v>0.522708100418231</v>
      </c>
      <c r="C112" t="n">
        <v>0.4549311040513108</v>
      </c>
      <c r="D112" t="n">
        <v>0.5907258361441411</v>
      </c>
      <c r="E112" t="n">
        <v>109.38142</v>
      </c>
      <c r="F112" t="n">
        <v>69</v>
      </c>
      <c r="G112" t="n">
        <v>144</v>
      </c>
      <c r="H112" t="n">
        <v>15.56930758844462</v>
      </c>
      <c r="I112" t="n">
        <v>75</v>
      </c>
      <c r="J112" t="n">
        <v>0</v>
      </c>
      <c r="K112" t="n">
        <v>0.7225464992848563</v>
      </c>
      <c r="L112" t="n">
        <v>0.9514871703716347</v>
      </c>
      <c r="M112" t="n">
        <v>0.3138665968245469</v>
      </c>
      <c r="N112" t="n">
        <v>0</v>
      </c>
      <c r="O112" t="n">
        <v>0.0002378291130285686</v>
      </c>
      <c r="P112" t="n">
        <v>0.9709935493351951</v>
      </c>
      <c r="Q112" t="n">
        <v>111</v>
      </c>
    </row>
    <row r="113">
      <c r="A113" t="inlineStr">
        <is>
          <t>IT15Q15000000002</t>
        </is>
      </c>
      <c r="B113" t="n">
        <v>0.5210683359679592</v>
      </c>
      <c r="C113" t="n">
        <v>0.4667762749942848</v>
      </c>
      <c r="D113" t="n">
        <v>0.5765142576971587</v>
      </c>
      <c r="E113" t="n">
        <v>110.86324</v>
      </c>
      <c r="F113" t="n">
        <v>80</v>
      </c>
      <c r="G113" t="n">
        <v>136</v>
      </c>
      <c r="H113" t="n">
        <v>11.66142773001651</v>
      </c>
      <c r="I113" t="n">
        <v>56</v>
      </c>
      <c r="J113" t="n">
        <v>0</v>
      </c>
      <c r="K113" t="n">
        <v>0.2398869810423427</v>
      </c>
      <c r="L113" t="n">
        <v>0.8194887313892624</v>
      </c>
      <c r="M113" t="n">
        <v>0.8700140218746291</v>
      </c>
      <c r="N113" t="n">
        <v>0</v>
      </c>
      <c r="O113" t="n">
        <v>0.1889006797337432</v>
      </c>
      <c r="P113" t="n">
        <v>0.6667662674155113</v>
      </c>
      <c r="Q113" t="n">
        <v>112</v>
      </c>
    </row>
    <row r="114">
      <c r="A114" t="inlineStr">
        <is>
          <t>FR060969152001</t>
        </is>
      </c>
      <c r="B114" t="n">
        <v>0.5199682675355087</v>
      </c>
      <c r="C114" t="n">
        <v>0.4655903602385331</v>
      </c>
      <c r="D114" t="n">
        <v>0.5749509951103173</v>
      </c>
      <c r="E114" t="n">
        <v>111.53658</v>
      </c>
      <c r="F114" t="n">
        <v>76</v>
      </c>
      <c r="G114" t="n">
        <v>147</v>
      </c>
      <c r="H114" t="n">
        <v>16.93027294238339</v>
      </c>
      <c r="I114" t="n">
        <v>71</v>
      </c>
      <c r="J114" t="n">
        <v>0</v>
      </c>
      <c r="K114" t="n">
        <v>0.4680124142131561</v>
      </c>
      <c r="L114" t="n">
        <v>0.5954367196750516</v>
      </c>
      <c r="M114" t="n">
        <v>0.8730969369104578</v>
      </c>
      <c r="N114" t="n">
        <v>1</v>
      </c>
      <c r="O114" t="n">
        <v>0.09468578523056465</v>
      </c>
      <c r="P114" t="n">
        <v>0</v>
      </c>
      <c r="Q114" t="n">
        <v>113</v>
      </c>
    </row>
    <row r="115">
      <c r="A115" t="inlineStr">
        <is>
          <t>IT15Q15000000001</t>
        </is>
      </c>
      <c r="B115" t="n">
        <v>0.5187898134789427</v>
      </c>
      <c r="C115" t="n">
        <v>0.4636825600797201</v>
      </c>
      <c r="D115" t="n">
        <v>0.5749912486668053</v>
      </c>
      <c r="E115" t="n">
        <v>113.07498</v>
      </c>
      <c r="F115" t="n">
        <v>86</v>
      </c>
      <c r="G115" t="n">
        <v>136</v>
      </c>
      <c r="H115" t="n">
        <v>10.76911129107692</v>
      </c>
      <c r="I115" t="n">
        <v>50</v>
      </c>
      <c r="J115" t="n">
        <v>0</v>
      </c>
      <c r="K115" t="n">
        <v>0.2541829844316065</v>
      </c>
      <c r="L115" t="n">
        <v>0.848856532416999</v>
      </c>
      <c r="M115" t="n">
        <v>0.9130029388705915</v>
      </c>
      <c r="N115" t="n">
        <v>0</v>
      </c>
      <c r="O115" t="n">
        <v>0.1731184300761504</v>
      </c>
      <c r="P115" t="n">
        <v>0.5653981097891115</v>
      </c>
      <c r="Q115" t="n">
        <v>114</v>
      </c>
    </row>
    <row r="116">
      <c r="A116" t="inlineStr">
        <is>
          <t>CZ6203-697931-46347275-4/1U</t>
        </is>
      </c>
      <c r="B116" t="n">
        <v>0.5182347651596192</v>
      </c>
      <c r="C116" t="n">
        <v>0.4786837784562527</v>
      </c>
      <c r="D116" t="n">
        <v>0.5579498268644859</v>
      </c>
      <c r="E116" t="n">
        <v>112.75632</v>
      </c>
      <c r="F116" t="n">
        <v>96</v>
      </c>
      <c r="G116" t="n">
        <v>127</v>
      </c>
      <c r="H116" t="n">
        <v>6.82121543843935</v>
      </c>
      <c r="I116" t="n">
        <v>31</v>
      </c>
      <c r="J116" t="n">
        <v>0</v>
      </c>
      <c r="K116" t="n">
        <v>0.705387851049373</v>
      </c>
      <c r="L116" t="n">
        <v>0.6113937083302826</v>
      </c>
      <c r="M116" t="n">
        <v>0.9386328134510621</v>
      </c>
      <c r="N116" t="n">
        <v>0.4931596518229744</v>
      </c>
      <c r="O116" t="n">
        <v>0.1108084636710809</v>
      </c>
      <c r="P116" t="n">
        <v>0.4668193204384321</v>
      </c>
      <c r="Q116" t="n">
        <v>115</v>
      </c>
    </row>
    <row r="117">
      <c r="A117" t="inlineStr">
        <is>
          <t>RO1IS_51</t>
        </is>
      </c>
      <c r="B117" t="n">
        <v>0.518031442956338</v>
      </c>
      <c r="C117" t="n">
        <v>0.4758138503388408</v>
      </c>
      <c r="D117" t="n">
        <v>0.5613219834281363</v>
      </c>
      <c r="E117" t="n">
        <v>113.3483</v>
      </c>
      <c r="F117" t="n">
        <v>86</v>
      </c>
      <c r="G117" t="n">
        <v>141</v>
      </c>
      <c r="H117" t="n">
        <v>10.98428273079348</v>
      </c>
      <c r="I117" t="n">
        <v>55</v>
      </c>
      <c r="J117" t="n">
        <v>0</v>
      </c>
      <c r="K117" t="n">
        <v>0.8178357271928715</v>
      </c>
      <c r="L117" t="n">
        <v>0.5999427779161751</v>
      </c>
      <c r="M117" t="n">
        <v>0.5387907974804759</v>
      </c>
      <c r="N117" t="n">
        <v>0.5292652624495704</v>
      </c>
      <c r="O117" t="n">
        <v>0.1781620210614405</v>
      </c>
      <c r="P117" t="n">
        <v>0.666801714178788</v>
      </c>
      <c r="Q117" t="n">
        <v>116</v>
      </c>
    </row>
    <row r="118">
      <c r="A118" t="inlineStr">
        <is>
          <t>DETP_BYAB-K0033</t>
        </is>
      </c>
      <c r="B118" t="n">
        <v>0.5159441531887905</v>
      </c>
      <c r="C118" t="n">
        <v>0.4679720903334662</v>
      </c>
      <c r="D118" t="n">
        <v>0.5655099137597459</v>
      </c>
      <c r="E118" t="n">
        <v>115.25306</v>
      </c>
      <c r="F118" t="n">
        <v>97</v>
      </c>
      <c r="G118" t="n">
        <v>131</v>
      </c>
      <c r="H118" t="n">
        <v>6.874990955368582</v>
      </c>
      <c r="I118" t="n">
        <v>34</v>
      </c>
      <c r="J118" t="n">
        <v>0</v>
      </c>
      <c r="K118" t="n">
        <v>0.4544093606888455</v>
      </c>
      <c r="L118" t="n">
        <v>0.6689486194570159</v>
      </c>
      <c r="M118" t="n">
        <v>0.9614851971348626</v>
      </c>
      <c r="N118" t="n">
        <v>0.3067604129587128</v>
      </c>
      <c r="O118" t="n">
        <v>0.04105371120568008</v>
      </c>
      <c r="P118" t="n">
        <v>0.666801714178788</v>
      </c>
      <c r="Q118" t="n">
        <v>117</v>
      </c>
    </row>
    <row r="119">
      <c r="A119" t="inlineStr">
        <is>
          <t>HU-WWTP-AIA512</t>
        </is>
      </c>
      <c r="B119" t="n">
        <v>0.514834388019606</v>
      </c>
      <c r="C119" t="n">
        <v>0.4712777891270681</v>
      </c>
      <c r="D119" t="n">
        <v>0.559019862025162</v>
      </c>
      <c r="E119" t="n">
        <v>115.57322</v>
      </c>
      <c r="F119" t="n">
        <v>99</v>
      </c>
      <c r="G119" t="n">
        <v>131</v>
      </c>
      <c r="H119" t="n">
        <v>6.670655052661481</v>
      </c>
      <c r="I119" t="n">
        <v>32</v>
      </c>
      <c r="J119" t="n">
        <v>0</v>
      </c>
      <c r="K119" t="n">
        <v>0.6662690576695816</v>
      </c>
      <c r="L119" t="n">
        <v>0.7149589787610674</v>
      </c>
      <c r="M119" t="n">
        <v>0.8002220005046377</v>
      </c>
      <c r="N119" t="n">
        <v>0.4576040962677049</v>
      </c>
      <c r="O119" t="n">
        <v>0.1387852662767013</v>
      </c>
      <c r="P119" t="n">
        <v>0.3335679815942918</v>
      </c>
      <c r="Q119" t="n">
        <v>118</v>
      </c>
    </row>
    <row r="120">
      <c r="A120" t="inlineStr">
        <is>
          <t>DETP_BW1215100000017</t>
        </is>
      </c>
      <c r="B120" t="n">
        <v>0.5137379664765125</v>
      </c>
      <c r="C120" t="n">
        <v>0.4694661408463324</v>
      </c>
      <c r="D120" t="n">
        <v>0.5590108552374509</v>
      </c>
      <c r="E120" t="n">
        <v>117.01064</v>
      </c>
      <c r="F120" t="n">
        <v>97</v>
      </c>
      <c r="G120" t="n">
        <v>137</v>
      </c>
      <c r="H120" t="n">
        <v>7.956341294239345</v>
      </c>
      <c r="I120" t="n">
        <v>40</v>
      </c>
      <c r="J120" t="n">
        <v>0</v>
      </c>
      <c r="K120" t="n">
        <v>0.4670924131280738</v>
      </c>
      <c r="L120" t="n">
        <v>0.7222793176763517</v>
      </c>
      <c r="M120" t="n">
        <v>0.7912274234882566</v>
      </c>
      <c r="N120" t="n">
        <v>0.4489826351808145</v>
      </c>
      <c r="O120" t="n">
        <v>0.07731390579831611</v>
      </c>
      <c r="P120" t="n">
        <v>0.4414858888836611</v>
      </c>
      <c r="Q120" t="n">
        <v>119</v>
      </c>
    </row>
    <row r="121">
      <c r="A121" t="inlineStr">
        <is>
          <t>ES1110200014010E</t>
        </is>
      </c>
      <c r="B121" t="n">
        <v>0.5122647908972738</v>
      </c>
      <c r="C121" t="n">
        <v>0.4565542128392299</v>
      </c>
      <c r="D121" t="n">
        <v>0.567911843717658</v>
      </c>
      <c r="E121" t="n">
        <v>117.85246</v>
      </c>
      <c r="F121" t="n">
        <v>91</v>
      </c>
      <c r="G121" t="n">
        <v>139</v>
      </c>
      <c r="H121" t="n">
        <v>10.28065231142456</v>
      </c>
      <c r="I121" t="n">
        <v>48</v>
      </c>
      <c r="J121" t="n">
        <v>0</v>
      </c>
      <c r="K121" t="n">
        <v>0.8061558118853979</v>
      </c>
      <c r="L121" t="n">
        <v>0.8111571694406416</v>
      </c>
      <c r="M121" t="n">
        <v>0.7292424995702124</v>
      </c>
      <c r="N121" t="n">
        <v>0</v>
      </c>
      <c r="O121" t="n">
        <v>0.09392569534469294</v>
      </c>
      <c r="P121" t="n">
        <v>0.7532658928161217</v>
      </c>
      <c r="Q121" t="n">
        <v>120</v>
      </c>
    </row>
    <row r="122">
      <c r="A122" t="inlineStr">
        <is>
          <t>PLWL1330</t>
        </is>
      </c>
      <c r="B122" t="n">
        <v>0.5116543940249059</v>
      </c>
      <c r="C122" t="n">
        <v>0.4631685023252178</v>
      </c>
      <c r="D122" t="n">
        <v>0.5611321293296581</v>
      </c>
      <c r="E122" t="n">
        <v>118.05882</v>
      </c>
      <c r="F122" t="n">
        <v>85</v>
      </c>
      <c r="G122" t="n">
        <v>143</v>
      </c>
      <c r="H122" t="n">
        <v>11.67251644709087</v>
      </c>
      <c r="I122" t="n">
        <v>58</v>
      </c>
      <c r="J122" t="n">
        <v>0</v>
      </c>
      <c r="K122" t="n">
        <v>0.58611914826905</v>
      </c>
      <c r="L122" t="n">
        <v>0.6299454309192742</v>
      </c>
      <c r="M122" t="n">
        <v>0.6911727740068004</v>
      </c>
      <c r="N122" t="n">
        <v>0</v>
      </c>
      <c r="O122" t="n">
        <v>0.2859964581621169</v>
      </c>
      <c r="P122" t="n">
        <v>1</v>
      </c>
      <c r="Q122" t="n">
        <v>121</v>
      </c>
    </row>
    <row r="123">
      <c r="A123" t="inlineStr">
        <is>
          <t>DETP_NW2101</t>
        </is>
      </c>
      <c r="B123" t="n">
        <v>0.5110483954092562</v>
      </c>
      <c r="C123" t="n">
        <v>0.4725927677891076</v>
      </c>
      <c r="D123" t="n">
        <v>0.5492531730069307</v>
      </c>
      <c r="E123" t="n">
        <v>118.62982</v>
      </c>
      <c r="F123" t="n">
        <v>98</v>
      </c>
      <c r="G123" t="n">
        <v>137</v>
      </c>
      <c r="H123" t="n">
        <v>8.422374176418478</v>
      </c>
      <c r="I123" t="n">
        <v>39</v>
      </c>
      <c r="J123" t="n">
        <v>0</v>
      </c>
      <c r="K123" t="n">
        <v>0.6372582834955646</v>
      </c>
      <c r="L123" t="n">
        <v>0.6309255119150318</v>
      </c>
      <c r="M123" t="n">
        <v>0.6531821092860643</v>
      </c>
      <c r="N123" t="n">
        <v>0.6366587990987863</v>
      </c>
      <c r="O123" t="n">
        <v>0.1032140447932074</v>
      </c>
      <c r="P123" t="n">
        <v>0.4479294584901607</v>
      </c>
      <c r="Q123" t="n">
        <v>122</v>
      </c>
    </row>
    <row r="124">
      <c r="A124" t="inlineStr">
        <is>
          <t>IT01000000000043</t>
        </is>
      </c>
      <c r="B124" t="n">
        <v>0.5090097874260764</v>
      </c>
      <c r="C124" t="n">
        <v>0.4544598193473246</v>
      </c>
      <c r="D124" t="n">
        <v>0.5635602832307225</v>
      </c>
      <c r="E124" t="n">
        <v>118.6606</v>
      </c>
      <c r="F124" t="n">
        <v>57</v>
      </c>
      <c r="G124" t="n">
        <v>170</v>
      </c>
      <c r="H124" t="n">
        <v>25.40859161071272</v>
      </c>
      <c r="I124" t="n">
        <v>113</v>
      </c>
      <c r="J124" t="n">
        <v>0</v>
      </c>
      <c r="K124" t="n">
        <v>0.07437285483681461</v>
      </c>
      <c r="L124" t="n">
        <v>0.1036591774593592</v>
      </c>
      <c r="M124" t="n">
        <v>0.8611291868319457</v>
      </c>
      <c r="N124" t="n">
        <v>0.4931596518229744</v>
      </c>
      <c r="O124" t="n">
        <v>0.9840776118745966</v>
      </c>
      <c r="P124" t="n">
        <v>0.6664320184056974</v>
      </c>
      <c r="Q124" t="n">
        <v>123</v>
      </c>
    </row>
    <row r="125">
      <c r="A125" t="inlineStr">
        <is>
          <t>FR037862401000</t>
        </is>
      </c>
      <c r="B125" t="n">
        <v>0.506479017127902</v>
      </c>
      <c r="C125" t="n">
        <v>0.4699884462376308</v>
      </c>
      <c r="D125" t="n">
        <v>0.5436976175878437</v>
      </c>
      <c r="E125" t="n">
        <v>122.3691</v>
      </c>
      <c r="F125" t="n">
        <v>94</v>
      </c>
      <c r="G125" t="n">
        <v>148</v>
      </c>
      <c r="H125" t="n">
        <v>11.30065950243617</v>
      </c>
      <c r="I125" t="n">
        <v>54</v>
      </c>
      <c r="J125" t="n">
        <v>0</v>
      </c>
      <c r="K125" t="n">
        <v>0.6949955180388696</v>
      </c>
      <c r="L125" t="n">
        <v>0.473328915327232</v>
      </c>
      <c r="M125" t="n">
        <v>0.8951599441656942</v>
      </c>
      <c r="N125" t="n">
        <v>0.5685503105095618</v>
      </c>
      <c r="O125" t="n">
        <v>0.1351916952246827</v>
      </c>
      <c r="P125" t="n">
        <v>0.6185049459443845</v>
      </c>
      <c r="Q125" t="n">
        <v>124</v>
      </c>
    </row>
    <row r="126">
      <c r="A126" t="inlineStr">
        <is>
          <t>DETP_NW3008</t>
        </is>
      </c>
      <c r="B126" t="n">
        <v>0.5055377336812322</v>
      </c>
      <c r="C126" t="n">
        <v>0.4654095096962774</v>
      </c>
      <c r="D126" t="n">
        <v>0.5452186647303915</v>
      </c>
      <c r="E126" t="n">
        <v>123.44696</v>
      </c>
      <c r="F126" t="n">
        <v>107</v>
      </c>
      <c r="G126" t="n">
        <v>137</v>
      </c>
      <c r="H126" t="n">
        <v>6.277396495236014</v>
      </c>
      <c r="I126" t="n">
        <v>30</v>
      </c>
      <c r="J126" t="n">
        <v>0</v>
      </c>
      <c r="K126" t="n">
        <v>0.6394516320215217</v>
      </c>
      <c r="L126" t="n">
        <v>0.6093212069146886</v>
      </c>
      <c r="M126" t="n">
        <v>0.846191285720222</v>
      </c>
      <c r="N126" t="n">
        <v>0.5415445433326801</v>
      </c>
      <c r="O126" t="n">
        <v>0.03457867645698479</v>
      </c>
      <c r="P126" t="n">
        <v>0.5075928360592432</v>
      </c>
      <c r="Q126" t="n">
        <v>125</v>
      </c>
    </row>
    <row r="127">
      <c r="A127" t="inlineStr">
        <is>
          <t>DETP_NW2138</t>
        </is>
      </c>
      <c r="B127" t="n">
        <v>0.5031465727046845</v>
      </c>
      <c r="C127" t="n">
        <v>0.4573217255476564</v>
      </c>
      <c r="D127" t="n">
        <v>0.5488303334884994</v>
      </c>
      <c r="E127" t="n">
        <v>125.0554</v>
      </c>
      <c r="F127" t="n">
        <v>107</v>
      </c>
      <c r="G127" t="n">
        <v>140</v>
      </c>
      <c r="H127" t="n">
        <v>6.620239485094001</v>
      </c>
      <c r="I127" t="n">
        <v>33</v>
      </c>
      <c r="J127" t="n">
        <v>0</v>
      </c>
      <c r="K127" t="n">
        <v>0.6361538144001186</v>
      </c>
      <c r="L127" t="n">
        <v>0.6640110507896273</v>
      </c>
      <c r="M127" t="n">
        <v>0.9258132446862817</v>
      </c>
      <c r="N127" t="n">
        <v>0.4931596518229744</v>
      </c>
      <c r="O127" t="n">
        <v>0.0565937946025749</v>
      </c>
      <c r="P127" t="n">
        <v>0.3335679815942918</v>
      </c>
      <c r="Q127" t="n">
        <v>126</v>
      </c>
    </row>
    <row r="128">
      <c r="A128" t="inlineStr">
        <is>
          <t>ES6390750005010E</t>
        </is>
      </c>
      <c r="B128" t="n">
        <v>0.5006608199174105</v>
      </c>
      <c r="C128" t="n">
        <v>0.4390573706446223</v>
      </c>
      <c r="D128" t="n">
        <v>0.562497961097706</v>
      </c>
      <c r="E128" t="n">
        <v>126.49526</v>
      </c>
      <c r="F128" t="n">
        <v>98</v>
      </c>
      <c r="G128" t="n">
        <v>148</v>
      </c>
      <c r="H128" t="n">
        <v>10.70246595567545</v>
      </c>
      <c r="I128" t="n">
        <v>50</v>
      </c>
      <c r="J128" t="n">
        <v>0</v>
      </c>
      <c r="K128" t="n">
        <v>0.7274816335622337</v>
      </c>
      <c r="L128" t="n">
        <v>0.8970642330326855</v>
      </c>
      <c r="M128" t="n">
        <v>0.6257328647942942</v>
      </c>
      <c r="N128" t="n">
        <v>0</v>
      </c>
      <c r="O128" t="n">
        <v>0.02019300639702132</v>
      </c>
      <c r="P128" t="n">
        <v>0.666801714178788</v>
      </c>
      <c r="Q128" t="n">
        <v>127</v>
      </c>
    </row>
    <row r="129">
      <c r="A129" t="inlineStr">
        <is>
          <t>UKENTH_TWU_TP000052</t>
        </is>
      </c>
      <c r="B129" t="n">
        <v>0.4989135392690796</v>
      </c>
      <c r="C129" t="n">
        <v>0.4659290257363202</v>
      </c>
      <c r="D129" t="n">
        <v>0.530944142813474</v>
      </c>
      <c r="E129" t="n">
        <v>127.8886</v>
      </c>
      <c r="F129" t="n">
        <v>106</v>
      </c>
      <c r="G129" t="n">
        <v>146</v>
      </c>
      <c r="H129" t="n">
        <v>7.766651147051587</v>
      </c>
      <c r="I129" t="n">
        <v>40</v>
      </c>
      <c r="J129" t="n">
        <v>0</v>
      </c>
      <c r="K129" t="n">
        <v>0.8429907259297251</v>
      </c>
      <c r="L129" t="n">
        <v>0.5475386690655833</v>
      </c>
      <c r="M129" t="n">
        <v>0.7796070035964893</v>
      </c>
      <c r="N129" t="n">
        <v>0.4783538548317376</v>
      </c>
      <c r="O129" t="n">
        <v>0.3276349111073444</v>
      </c>
      <c r="P129" t="n">
        <v>0.3335679815942918</v>
      </c>
      <c r="Q129" t="n">
        <v>128</v>
      </c>
    </row>
    <row r="130">
      <c r="A130" t="inlineStr">
        <is>
          <t>IT19SR00G7002DE001</t>
        </is>
      </c>
      <c r="B130" t="n">
        <v>0.4988167481462523</v>
      </c>
      <c r="C130" t="n">
        <v>0.4358271054755668</v>
      </c>
      <c r="D130" t="n">
        <v>0.5647638605541225</v>
      </c>
      <c r="E130" t="n">
        <v>127.11076</v>
      </c>
      <c r="F130" t="n">
        <v>96</v>
      </c>
      <c r="G130" t="n">
        <v>152</v>
      </c>
      <c r="H130" t="n">
        <v>12.12220657398634</v>
      </c>
      <c r="I130" t="n">
        <v>56</v>
      </c>
      <c r="J130" t="n">
        <v>0</v>
      </c>
      <c r="K130" t="n">
        <v>0.6770249086211297</v>
      </c>
      <c r="L130" t="n">
        <v>0.9807944812915386</v>
      </c>
      <c r="M130" t="n">
        <v>0.9184141409491986</v>
      </c>
      <c r="N130" t="n">
        <v>0</v>
      </c>
      <c r="O130" t="n">
        <v>0.153089056559971</v>
      </c>
      <c r="P130" t="n">
        <v>0.06554674042301629</v>
      </c>
      <c r="Q130" t="n">
        <v>129</v>
      </c>
    </row>
    <row r="131">
      <c r="A131" t="inlineStr">
        <is>
          <t>PLDO0011</t>
        </is>
      </c>
      <c r="B131" t="n">
        <v>0.4969947655678225</v>
      </c>
      <c r="C131" t="n">
        <v>0.4669104426820096</v>
      </c>
      <c r="D131" t="n">
        <v>0.5258480184868399</v>
      </c>
      <c r="E131" t="n">
        <v>129.38124</v>
      </c>
      <c r="F131" t="n">
        <v>102</v>
      </c>
      <c r="G131" t="n">
        <v>150</v>
      </c>
      <c r="H131" t="n">
        <v>9.824932369355107</v>
      </c>
      <c r="I131" t="n">
        <v>48</v>
      </c>
      <c r="J131" t="n">
        <v>0</v>
      </c>
      <c r="K131" t="n">
        <v>0.586794746541324</v>
      </c>
      <c r="L131" t="n">
        <v>0.4915773937007847</v>
      </c>
      <c r="M131" t="n">
        <v>0.6789357400418742</v>
      </c>
      <c r="N131" t="n">
        <v>0.6483510581063614</v>
      </c>
      <c r="O131" t="n">
        <v>0.3029059756213782</v>
      </c>
      <c r="P131" t="n">
        <v>0.3983321744015129</v>
      </c>
      <c r="Q131" t="n">
        <v>130</v>
      </c>
    </row>
    <row r="132">
      <c r="A132" t="inlineStr">
        <is>
          <t>ES9082790004050E</t>
        </is>
      </c>
      <c r="B132" t="n">
        <v>0.4968702400832681</v>
      </c>
      <c r="C132" t="n">
        <v>0.4345556800033623</v>
      </c>
      <c r="D132" t="n">
        <v>0.5606890260970951</v>
      </c>
      <c r="E132" t="n">
        <v>128.64224</v>
      </c>
      <c r="F132" t="n">
        <v>101</v>
      </c>
      <c r="G132" t="n">
        <v>150</v>
      </c>
      <c r="H132" t="n">
        <v>10.35113751152013</v>
      </c>
      <c r="I132" t="n">
        <v>49</v>
      </c>
      <c r="J132" t="n">
        <v>0</v>
      </c>
      <c r="K132" t="n">
        <v>0.3865282909152213</v>
      </c>
      <c r="L132" t="n">
        <v>0.9372797098678513</v>
      </c>
      <c r="M132" t="n">
        <v>0.8780024487224649</v>
      </c>
      <c r="N132" t="n">
        <v>0</v>
      </c>
      <c r="O132" t="n">
        <v>0.07853785533109553</v>
      </c>
      <c r="P132" t="n">
        <v>0.3335679815942918</v>
      </c>
      <c r="Q132" t="n">
        <v>131</v>
      </c>
    </row>
    <row r="133">
      <c r="A133" t="inlineStr">
        <is>
          <t>UKENNW_UU_TP000042</t>
        </is>
      </c>
      <c r="B133" t="n">
        <v>0.4940785114173281</v>
      </c>
      <c r="C133" t="n">
        <v>0.4480679479472309</v>
      </c>
      <c r="D133" t="n">
        <v>0.541395525248513</v>
      </c>
      <c r="E133" t="n">
        <v>131.29622</v>
      </c>
      <c r="F133" t="n">
        <v>113</v>
      </c>
      <c r="G133" t="n">
        <v>146</v>
      </c>
      <c r="H133" t="n">
        <v>6.349720758552863</v>
      </c>
      <c r="I133" t="n">
        <v>33</v>
      </c>
      <c r="J133" t="n">
        <v>0</v>
      </c>
      <c r="K133" t="n">
        <v>0.8049601935570663</v>
      </c>
      <c r="L133" t="n">
        <v>0.6243504693774456</v>
      </c>
      <c r="M133" t="n">
        <v>0.8808556893708874</v>
      </c>
      <c r="N133" t="n">
        <v>0.1499999999998699</v>
      </c>
      <c r="O133" t="n">
        <v>0.1608785854434301</v>
      </c>
      <c r="P133" t="n">
        <v>0.666801714178788</v>
      </c>
      <c r="Q133" t="n">
        <v>132</v>
      </c>
    </row>
    <row r="134">
      <c r="A134" t="inlineStr">
        <is>
          <t>IT09RT0504</t>
        </is>
      </c>
      <c r="B134" t="n">
        <v>0.4925032473494173</v>
      </c>
      <c r="C134" t="n">
        <v>0.4494112104571942</v>
      </c>
      <c r="D134" t="n">
        <v>0.5362781079697104</v>
      </c>
      <c r="E134" t="n">
        <v>131.96064</v>
      </c>
      <c r="F134" t="n">
        <v>104</v>
      </c>
      <c r="G134" t="n">
        <v>153</v>
      </c>
      <c r="H134" t="n">
        <v>9.88927149947882</v>
      </c>
      <c r="I134" t="n">
        <v>49</v>
      </c>
      <c r="J134" t="n">
        <v>0</v>
      </c>
      <c r="K134" t="n">
        <v>0.420723007851162</v>
      </c>
      <c r="L134" t="n">
        <v>0.5905988118809908</v>
      </c>
      <c r="M134" t="n">
        <v>0.9740069210050513</v>
      </c>
      <c r="N134" t="n">
        <v>0</v>
      </c>
      <c r="O134" t="n">
        <v>0.505981551875277</v>
      </c>
      <c r="P134" t="n">
        <v>0.4859206862392573</v>
      </c>
      <c r="Q134" t="n">
        <v>133</v>
      </c>
    </row>
    <row r="135">
      <c r="A135" t="inlineStr">
        <is>
          <t>ES1410910002012E</t>
        </is>
      </c>
      <c r="B135" t="n">
        <v>0.4915201882930443</v>
      </c>
      <c r="C135" t="n">
        <v>0.4362625996637072</v>
      </c>
      <c r="D135" t="n">
        <v>0.5472495119114961</v>
      </c>
      <c r="E135" t="n">
        <v>132.62378</v>
      </c>
      <c r="F135" t="n">
        <v>109</v>
      </c>
      <c r="G135" t="n">
        <v>151</v>
      </c>
      <c r="H135" t="n">
        <v>9.201045511875311</v>
      </c>
      <c r="I135" t="n">
        <v>42</v>
      </c>
      <c r="J135" t="n">
        <v>0</v>
      </c>
      <c r="K135" t="n">
        <v>0.7353008239145477</v>
      </c>
      <c r="L135" t="n">
        <v>0.7154092887113958</v>
      </c>
      <c r="M135" t="n">
        <v>0.6017480130770835</v>
      </c>
      <c r="N135" t="n">
        <v>0</v>
      </c>
      <c r="O135" t="n">
        <v>0.1084692991280422</v>
      </c>
      <c r="P135" t="n">
        <v>0.932157241178627</v>
      </c>
      <c r="Q135" t="n">
        <v>134</v>
      </c>
    </row>
    <row r="136">
      <c r="A136" t="inlineStr">
        <is>
          <t>FR025745200219</t>
        </is>
      </c>
      <c r="B136" t="n">
        <v>0.4908539892186077</v>
      </c>
      <c r="C136" t="n">
        <v>0.4408756144835115</v>
      </c>
      <c r="D136" t="n">
        <v>0.5421771738935827</v>
      </c>
      <c r="E136" t="n">
        <v>132.91642</v>
      </c>
      <c r="F136" t="n">
        <v>110</v>
      </c>
      <c r="G136" t="n">
        <v>152</v>
      </c>
      <c r="H136" t="n">
        <v>8.344816018559303</v>
      </c>
      <c r="I136" t="n">
        <v>42</v>
      </c>
      <c r="J136" t="n">
        <v>0</v>
      </c>
      <c r="K136" t="n">
        <v>0.5961581099899883</v>
      </c>
      <c r="L136" t="n">
        <v>0.7311040180570278</v>
      </c>
      <c r="M136" t="n">
        <v>0.8816811713320739</v>
      </c>
      <c r="N136" t="n">
        <v>0.3778715240696097</v>
      </c>
      <c r="O136" t="n">
        <v>0.01583840318107086</v>
      </c>
      <c r="P136" t="n">
        <v>0.3331982858212192</v>
      </c>
      <c r="Q136" t="n">
        <v>135</v>
      </c>
    </row>
    <row r="137">
      <c r="A137" t="inlineStr">
        <is>
          <t>FIJVP_O000000000101</t>
        </is>
      </c>
      <c r="B137" t="n">
        <v>0.4887138128475921</v>
      </c>
      <c r="C137" t="n">
        <v>0.444188398840619</v>
      </c>
      <c r="D137" t="n">
        <v>0.5340521784201071</v>
      </c>
      <c r="E137" t="n">
        <v>134.81938</v>
      </c>
      <c r="F137" t="n">
        <v>114</v>
      </c>
      <c r="G137" t="n">
        <v>155</v>
      </c>
      <c r="H137" t="n">
        <v>8.242353815238998</v>
      </c>
      <c r="I137" t="n">
        <v>41</v>
      </c>
      <c r="J137" t="n">
        <v>0</v>
      </c>
      <c r="K137" t="n">
        <v>0.8915923294776752</v>
      </c>
      <c r="L137" t="n">
        <v>0.6775902949872055</v>
      </c>
      <c r="M137" t="n">
        <v>0.7615905318549009</v>
      </c>
      <c r="N137" t="n">
        <v>0.4489826351808145</v>
      </c>
      <c r="O137" t="n">
        <v>0.09780648329888096</v>
      </c>
      <c r="P137" t="n">
        <v>0.2931780767285819</v>
      </c>
      <c r="Q137" t="n">
        <v>136</v>
      </c>
    </row>
    <row r="138">
      <c r="A138" t="inlineStr">
        <is>
          <t>ES14300160001030E</t>
        </is>
      </c>
      <c r="B138" t="n">
        <v>0.4881191006709195</v>
      </c>
      <c r="C138" t="n">
        <v>0.427195632208219</v>
      </c>
      <c r="D138" t="n">
        <v>0.5506075786581883</v>
      </c>
      <c r="E138" t="n">
        <v>134.34138</v>
      </c>
      <c r="F138" t="n">
        <v>109</v>
      </c>
      <c r="G138" t="n">
        <v>151</v>
      </c>
      <c r="H138" t="n">
        <v>8.296837933550618</v>
      </c>
      <c r="I138" t="n">
        <v>42</v>
      </c>
      <c r="J138" t="n">
        <v>0</v>
      </c>
      <c r="K138" t="n">
        <v>0.7339475247967071</v>
      </c>
      <c r="L138" t="n">
        <v>0.7502402484016436</v>
      </c>
      <c r="M138" t="n">
        <v>0.9491682510886553</v>
      </c>
      <c r="N138" t="n">
        <v>0</v>
      </c>
      <c r="O138" t="n">
        <v>0.01193477612321507</v>
      </c>
      <c r="P138" t="n">
        <v>0.6667662674155113</v>
      </c>
      <c r="Q138" t="n">
        <v>137</v>
      </c>
    </row>
    <row r="139">
      <c r="A139" t="inlineStr">
        <is>
          <t>IT15Q15000000006</t>
        </is>
      </c>
      <c r="B139" t="n">
        <v>0.4877682047598</v>
      </c>
      <c r="C139" t="n">
        <v>0.434517676767476</v>
      </c>
      <c r="D139" t="n">
        <v>0.5420263319365103</v>
      </c>
      <c r="E139" t="n">
        <v>135.04484</v>
      </c>
      <c r="F139" t="n">
        <v>110</v>
      </c>
      <c r="G139" t="n">
        <v>153</v>
      </c>
      <c r="H139" t="n">
        <v>8.728243200919511</v>
      </c>
      <c r="I139" t="n">
        <v>43</v>
      </c>
      <c r="J139" t="n">
        <v>0</v>
      </c>
      <c r="K139" t="n">
        <v>0.2423275735871946</v>
      </c>
      <c r="L139" t="n">
        <v>0.8032575185764408</v>
      </c>
      <c r="M139" t="n">
        <v>0.9262918755728357</v>
      </c>
      <c r="N139" t="n">
        <v>0</v>
      </c>
      <c r="O139" t="n">
        <v>0.1663456681108494</v>
      </c>
      <c r="P139" t="n">
        <v>0.4592905812517889</v>
      </c>
      <c r="Q139" t="n">
        <v>138</v>
      </c>
    </row>
    <row r="140">
      <c r="A140" t="inlineStr">
        <is>
          <t>DETP_BYDON-K0220</t>
        </is>
      </c>
      <c r="B140" t="n">
        <v>0.4859098332659391</v>
      </c>
      <c r="C140" t="n">
        <v>0.4482810049361597</v>
      </c>
      <c r="D140" t="n">
        <v>0.5240111250182862</v>
      </c>
      <c r="E140" t="n">
        <v>136.67408</v>
      </c>
      <c r="F140" t="n">
        <v>121</v>
      </c>
      <c r="G140" t="n">
        <v>150</v>
      </c>
      <c r="H140" t="n">
        <v>6.092797071427767</v>
      </c>
      <c r="I140" t="n">
        <v>29</v>
      </c>
      <c r="J140" t="n">
        <v>0</v>
      </c>
      <c r="K140" t="n">
        <v>0.443184293121272</v>
      </c>
      <c r="L140" t="n">
        <v>0.5789152131316996</v>
      </c>
      <c r="M140" t="n">
        <v>0.79502496097052</v>
      </c>
      <c r="N140" t="n">
        <v>0.5100241851188997</v>
      </c>
      <c r="O140" t="n">
        <v>0.06306882935129364</v>
      </c>
      <c r="P140" t="n">
        <v>0.526335911011755</v>
      </c>
      <c r="Q140" t="n">
        <v>139</v>
      </c>
    </row>
    <row r="141">
      <c r="A141" t="inlineStr">
        <is>
          <t>UKENNE_YW_TP000082</t>
        </is>
      </c>
      <c r="B141" t="n">
        <v>0.4841858741544688</v>
      </c>
      <c r="C141" t="n">
        <v>0.439290919316433</v>
      </c>
      <c r="D141" t="n">
        <v>0.5285443445965543</v>
      </c>
      <c r="E141" t="n">
        <v>137.66242</v>
      </c>
      <c r="F141" t="n">
        <v>120</v>
      </c>
      <c r="G141" t="n">
        <v>152</v>
      </c>
      <c r="H141" t="n">
        <v>6.297156480793568</v>
      </c>
      <c r="I141" t="n">
        <v>32</v>
      </c>
      <c r="J141" t="n">
        <v>0</v>
      </c>
      <c r="K141" t="n">
        <v>0.8088917699280523</v>
      </c>
      <c r="L141" t="n">
        <v>0.6334087912720447</v>
      </c>
      <c r="M141" t="n">
        <v>0.8263830240917758</v>
      </c>
      <c r="N141" t="n">
        <v>0.4931596518229744</v>
      </c>
      <c r="O141" t="n">
        <v>0.04867676117888423</v>
      </c>
      <c r="P141" t="n">
        <v>0.3335679815942918</v>
      </c>
      <c r="Q141" t="n">
        <v>140</v>
      </c>
    </row>
    <row r="142">
      <c r="A142" t="inlineStr">
        <is>
          <t>FR0444109S0011</t>
        </is>
      </c>
      <c r="B142" t="n">
        <v>0.4780306450979964</v>
      </c>
      <c r="C142" t="n">
        <v>0.4327151386275479</v>
      </c>
      <c r="D142" t="n">
        <v>0.524128536002939</v>
      </c>
      <c r="E142" t="n">
        <v>141.5191</v>
      </c>
      <c r="F142" t="n">
        <v>121</v>
      </c>
      <c r="G142" t="n">
        <v>159</v>
      </c>
      <c r="H142" t="n">
        <v>7.777109693838545</v>
      </c>
      <c r="I142" t="n">
        <v>38</v>
      </c>
      <c r="J142" t="n">
        <v>0</v>
      </c>
      <c r="K142" t="n">
        <v>0.7919480423290063</v>
      </c>
      <c r="L142" t="n">
        <v>0.6709062554557718</v>
      </c>
      <c r="M142" t="n">
        <v>0.8365674602857028</v>
      </c>
      <c r="N142" t="n">
        <v>0.5426992603136415</v>
      </c>
      <c r="O142" t="n">
        <v>0.04057483676524566</v>
      </c>
      <c r="P142" t="n">
        <v>0.1480177708351346</v>
      </c>
      <c r="Q142" t="n">
        <v>141</v>
      </c>
    </row>
    <row r="143">
      <c r="A143" t="inlineStr">
        <is>
          <t>ES7372740002010E</t>
        </is>
      </c>
      <c r="B143" t="n">
        <v>0.4763226637933698</v>
      </c>
      <c r="C143" t="n">
        <v>0.418543129007752</v>
      </c>
      <c r="D143" t="n">
        <v>0.5358624364011773</v>
      </c>
      <c r="E143" t="n">
        <v>142.62764</v>
      </c>
      <c r="F143" t="n">
        <v>120</v>
      </c>
      <c r="G143" t="n">
        <v>157</v>
      </c>
      <c r="H143" t="n">
        <v>7.194713894964623</v>
      </c>
      <c r="I143" t="n">
        <v>37</v>
      </c>
      <c r="J143" t="n">
        <v>0</v>
      </c>
      <c r="K143" t="n">
        <v>0.8219284005310461</v>
      </c>
      <c r="L143" t="n">
        <v>0.7299823262293701</v>
      </c>
      <c r="M143" t="n">
        <v>0.8633294455589389</v>
      </c>
      <c r="N143" t="n">
        <v>0</v>
      </c>
      <c r="O143" t="n">
        <v>0.04082463036865835</v>
      </c>
      <c r="P143" t="n">
        <v>0.6504317289645819</v>
      </c>
      <c r="Q143" t="n">
        <v>142</v>
      </c>
    </row>
    <row r="144">
      <c r="A144" t="inlineStr">
        <is>
          <t>UKENNW_UU_TP000124</t>
        </is>
      </c>
      <c r="B144" t="n">
        <v>0.4761102062872768</v>
      </c>
      <c r="C144" t="n">
        <v>0.4235598710105958</v>
      </c>
      <c r="D144" t="n">
        <v>0.530753480827426</v>
      </c>
      <c r="E144" t="n">
        <v>143.0066</v>
      </c>
      <c r="F144" t="n">
        <v>130</v>
      </c>
      <c r="G144" t="n">
        <v>153</v>
      </c>
      <c r="H144" t="n">
        <v>4.433278294896436</v>
      </c>
      <c r="I144" t="n">
        <v>23</v>
      </c>
      <c r="J144" t="n">
        <v>0</v>
      </c>
      <c r="K144" t="n">
        <v>0.797946640096708</v>
      </c>
      <c r="L144" t="n">
        <v>0.7053178988975646</v>
      </c>
      <c r="M144" t="n">
        <v>0.9382071758098927</v>
      </c>
      <c r="N144" t="n">
        <v>0.1499999999998699</v>
      </c>
      <c r="O144" t="n">
        <v>0.00880494985402209</v>
      </c>
      <c r="P144" t="n">
        <v>0.5021327064665433</v>
      </c>
      <c r="Q144" t="n">
        <v>143</v>
      </c>
    </row>
    <row r="145">
      <c r="A145" t="inlineStr">
        <is>
          <t>UKENTH_TWU_TP000126</t>
        </is>
      </c>
      <c r="B145" t="n">
        <v>0.475815312573259</v>
      </c>
      <c r="C145" t="n">
        <v>0.4138073791389656</v>
      </c>
      <c r="D145" t="n">
        <v>0.5385740915531336</v>
      </c>
      <c r="E145" t="n">
        <v>142.56798</v>
      </c>
      <c r="F145" t="n">
        <v>116</v>
      </c>
      <c r="G145" t="n">
        <v>160</v>
      </c>
      <c r="H145" t="n">
        <v>8.542689197178959</v>
      </c>
      <c r="I145" t="n">
        <v>44</v>
      </c>
      <c r="J145" t="n">
        <v>0</v>
      </c>
      <c r="K145" t="n">
        <v>0.8264686160064435</v>
      </c>
      <c r="L145" t="n">
        <v>0.8735711038568263</v>
      </c>
      <c r="M145" t="n">
        <v>0.8711825954406894</v>
      </c>
      <c r="N145" t="n">
        <v>0</v>
      </c>
      <c r="O145" t="n">
        <v>0.02013416848593018</v>
      </c>
      <c r="P145" t="n">
        <v>0.3335679815942918</v>
      </c>
      <c r="Q145" t="n">
        <v>144</v>
      </c>
    </row>
    <row r="146">
      <c r="A146" t="inlineStr">
        <is>
          <t>IT15Q15000000004</t>
        </is>
      </c>
      <c r="B146" t="n">
        <v>0.4710358665563213</v>
      </c>
      <c r="C146" t="n">
        <v>0.416693567666069</v>
      </c>
      <c r="D146" t="n">
        <v>0.5264983397077024</v>
      </c>
      <c r="E146" t="n">
        <v>145.54208</v>
      </c>
      <c r="F146" t="n">
        <v>122</v>
      </c>
      <c r="G146" t="n">
        <v>162</v>
      </c>
      <c r="H146" t="n">
        <v>8.566027625078103</v>
      </c>
      <c r="I146" t="n">
        <v>40</v>
      </c>
      <c r="J146" t="n">
        <v>0</v>
      </c>
      <c r="K146" t="n">
        <v>0.2841594564320613</v>
      </c>
      <c r="L146" t="n">
        <v>0.6495775921164533</v>
      </c>
      <c r="M146" t="n">
        <v>0.6918645033895832</v>
      </c>
      <c r="N146" t="n">
        <v>0</v>
      </c>
      <c r="O146" t="n">
        <v>0.07331610907249303</v>
      </c>
      <c r="P146" t="n">
        <v>1</v>
      </c>
      <c r="Q146" t="n">
        <v>145</v>
      </c>
    </row>
    <row r="147">
      <c r="A147" t="inlineStr">
        <is>
          <t>DETP_BYN-K0002</t>
        </is>
      </c>
      <c r="B147" t="n">
        <v>0.470442543253605</v>
      </c>
      <c r="C147" t="n">
        <v>0.4275503685601993</v>
      </c>
      <c r="D147" t="n">
        <v>0.5130801320191644</v>
      </c>
      <c r="E147" t="n">
        <v>145.91832</v>
      </c>
      <c r="F147" t="n">
        <v>131</v>
      </c>
      <c r="G147" t="n">
        <v>157</v>
      </c>
      <c r="H147" t="n">
        <v>5.418531939335364</v>
      </c>
      <c r="I147" t="n">
        <v>26</v>
      </c>
      <c r="J147" t="n">
        <v>0</v>
      </c>
      <c r="K147" t="n">
        <v>0.4678643389013095</v>
      </c>
      <c r="L147" t="n">
        <v>0.5974464756279212</v>
      </c>
      <c r="M147" t="n">
        <v>0.8918065969691623</v>
      </c>
      <c r="N147" t="n">
        <v>0.489213641232093</v>
      </c>
      <c r="O147" t="n">
        <v>0.03846369730625484</v>
      </c>
      <c r="P147" t="n">
        <v>0.3514506995962802</v>
      </c>
      <c r="Q147" t="n">
        <v>146</v>
      </c>
    </row>
    <row r="148">
      <c r="A148" t="inlineStr">
        <is>
          <t>IT09RT0506</t>
        </is>
      </c>
      <c r="B148" t="n">
        <v>0.4681047098190307</v>
      </c>
      <c r="C148" t="n">
        <v>0.417795962975534</v>
      </c>
      <c r="D148" t="n">
        <v>0.5203597434500147</v>
      </c>
      <c r="E148" t="n">
        <v>147.50454</v>
      </c>
      <c r="F148" t="n">
        <v>129</v>
      </c>
      <c r="G148" t="n">
        <v>162</v>
      </c>
      <c r="H148" t="n">
        <v>6.667903672699575</v>
      </c>
      <c r="I148" t="n">
        <v>33</v>
      </c>
      <c r="J148" t="n">
        <v>0</v>
      </c>
      <c r="K148" t="n">
        <v>0.4358110214377071</v>
      </c>
      <c r="L148" t="n">
        <v>0.6355724943052576</v>
      </c>
      <c r="M148" t="n">
        <v>0.9202180615413541</v>
      </c>
      <c r="N148" t="n">
        <v>0</v>
      </c>
      <c r="O148" t="n">
        <v>0.1782033198312004</v>
      </c>
      <c r="P148" t="n">
        <v>0.666801714178788</v>
      </c>
      <c r="Q148" t="n">
        <v>147</v>
      </c>
    </row>
    <row r="149">
      <c r="A149" t="inlineStr">
        <is>
          <t>ES1410700001010E</t>
        </is>
      </c>
      <c r="B149" t="n">
        <v>0.4679413965249358</v>
      </c>
      <c r="C149" t="n">
        <v>0.4112497802855157</v>
      </c>
      <c r="D149" t="n">
        <v>0.5251766941203044</v>
      </c>
      <c r="E149" t="n">
        <v>147.45408</v>
      </c>
      <c r="F149" t="n">
        <v>124</v>
      </c>
      <c r="G149" t="n">
        <v>164</v>
      </c>
      <c r="H149" t="n">
        <v>8.048859009424701</v>
      </c>
      <c r="I149" t="n">
        <v>40</v>
      </c>
      <c r="J149" t="n">
        <v>0</v>
      </c>
      <c r="K149" t="n">
        <v>0.7417937595813116</v>
      </c>
      <c r="L149" t="n">
        <v>0.7309045588387239</v>
      </c>
      <c r="M149" t="n">
        <v>0.4576892957976708</v>
      </c>
      <c r="N149" t="n">
        <v>0</v>
      </c>
      <c r="O149" t="n">
        <v>0.05773579755850528</v>
      </c>
      <c r="P149" t="n">
        <v>0.9151826535002558</v>
      </c>
      <c r="Q149" t="n">
        <v>148</v>
      </c>
    </row>
    <row r="150">
      <c r="A150" t="inlineStr">
        <is>
          <t>DETP_ST153581000001</t>
        </is>
      </c>
      <c r="B150" t="n">
        <v>0.4674571835142837</v>
      </c>
      <c r="C150" t="n">
        <v>0.4282865665781503</v>
      </c>
      <c r="D150" t="n">
        <v>0.5053950813831507</v>
      </c>
      <c r="E150" t="n">
        <v>147.58206</v>
      </c>
      <c r="F150" t="n">
        <v>127</v>
      </c>
      <c r="G150" t="n">
        <v>163</v>
      </c>
      <c r="H150" t="n">
        <v>7.985861641451026</v>
      </c>
      <c r="I150" t="n">
        <v>36</v>
      </c>
      <c r="J150" t="n">
        <v>0</v>
      </c>
      <c r="K150" t="n">
        <v>0.5843726556852057</v>
      </c>
      <c r="L150" t="n">
        <v>0.5369659681685808</v>
      </c>
      <c r="M150" t="n">
        <v>0.7144524870099999</v>
      </c>
      <c r="N150" t="n">
        <v>0.7017451841309394</v>
      </c>
      <c r="O150" t="n">
        <v>0.05814780294217056</v>
      </c>
      <c r="P150" t="n">
        <v>0.3031811067091954</v>
      </c>
      <c r="Q150" t="n">
        <v>149</v>
      </c>
    </row>
    <row r="151">
      <c r="A151" t="inlineStr">
        <is>
          <t>RO3AG_51</t>
        </is>
      </c>
      <c r="B151" t="n">
        <v>0.4661716110668994</v>
      </c>
      <c r="C151" t="n">
        <v>0.4212356572958454</v>
      </c>
      <c r="D151" t="n">
        <v>0.5116480410496292</v>
      </c>
      <c r="E151" t="n">
        <v>148.82604</v>
      </c>
      <c r="F151" t="n">
        <v>135</v>
      </c>
      <c r="G151" t="n">
        <v>160</v>
      </c>
      <c r="H151" t="n">
        <v>5.010790149108708</v>
      </c>
      <c r="I151" t="n">
        <v>25</v>
      </c>
      <c r="J151" t="n">
        <v>0</v>
      </c>
      <c r="K151" t="n">
        <v>0.6296549629150242</v>
      </c>
      <c r="L151" t="n">
        <v>0.6405932818320382</v>
      </c>
      <c r="M151" t="n">
        <v>0.7939916831432484</v>
      </c>
      <c r="N151" t="n">
        <v>0.4590031050985445</v>
      </c>
      <c r="O151" t="n">
        <v>0.01933060493173036</v>
      </c>
      <c r="P151" t="n">
        <v>0.3335679815942918</v>
      </c>
      <c r="Q151" t="n">
        <v>150</v>
      </c>
    </row>
    <row r="152">
      <c r="A152" t="inlineStr">
        <is>
          <t>IT06000000000098</t>
        </is>
      </c>
      <c r="B152" t="n">
        <v>0.4654174589865459</v>
      </c>
      <c r="C152" t="n">
        <v>0.4138337475461215</v>
      </c>
      <c r="D152" t="n">
        <v>0.5185952209707138</v>
      </c>
      <c r="E152" t="n">
        <v>148.54906</v>
      </c>
      <c r="F152" t="n">
        <v>125</v>
      </c>
      <c r="G152" t="n">
        <v>162</v>
      </c>
      <c r="H152" t="n">
        <v>7.193769048030161</v>
      </c>
      <c r="I152" t="n">
        <v>37</v>
      </c>
      <c r="J152" t="n">
        <v>0</v>
      </c>
      <c r="K152" t="n">
        <v>0.1353041563813978</v>
      </c>
      <c r="L152" t="n">
        <v>0.7926814112002413</v>
      </c>
      <c r="M152" t="n">
        <v>0.7431271260616343</v>
      </c>
      <c r="N152" t="n">
        <v>0</v>
      </c>
      <c r="O152" t="n">
        <v>0.1361758545572189</v>
      </c>
      <c r="P152" t="n">
        <v>0.5383397686937166</v>
      </c>
      <c r="Q152" t="n">
        <v>151</v>
      </c>
    </row>
    <row r="153">
      <c r="A153" t="inlineStr">
        <is>
          <t>IT12000000000311</t>
        </is>
      </c>
      <c r="B153" t="n">
        <v>0.4639282499743534</v>
      </c>
      <c r="C153" t="n">
        <v>0.4129677269987005</v>
      </c>
      <c r="D153" t="n">
        <v>0.5153112972284721</v>
      </c>
      <c r="E153" t="n">
        <v>149.62204</v>
      </c>
      <c r="F153" t="n">
        <v>130</v>
      </c>
      <c r="G153" t="n">
        <v>163</v>
      </c>
      <c r="H153" t="n">
        <v>6.409329624726936</v>
      </c>
      <c r="I153" t="n">
        <v>33</v>
      </c>
      <c r="J153" t="n">
        <v>0</v>
      </c>
      <c r="K153" t="n">
        <v>0.4109614075605396</v>
      </c>
      <c r="L153" t="n">
        <v>0.7531245866694002</v>
      </c>
      <c r="M153" t="n">
        <v>0.896966345150906</v>
      </c>
      <c r="N153" t="n">
        <v>0</v>
      </c>
      <c r="O153" t="n">
        <v>0.1605999010507875</v>
      </c>
      <c r="P153" t="n">
        <v>0.4121682030412531</v>
      </c>
      <c r="Q153" t="n">
        <v>152</v>
      </c>
    </row>
    <row r="154">
      <c r="A154" t="inlineStr">
        <is>
          <t>DETP_ST152021000001</t>
        </is>
      </c>
      <c r="B154" t="n">
        <v>0.4610649762239916</v>
      </c>
      <c r="C154" t="n">
        <v>0.4157241365116014</v>
      </c>
      <c r="D154" t="n">
        <v>0.5077572272608105</v>
      </c>
      <c r="E154" t="n">
        <v>151.58562</v>
      </c>
      <c r="F154" t="n">
        <v>138</v>
      </c>
      <c r="G154" t="n">
        <v>163</v>
      </c>
      <c r="H154" t="n">
        <v>5.197244386749693</v>
      </c>
      <c r="I154" t="n">
        <v>25</v>
      </c>
      <c r="J154" t="n">
        <v>0</v>
      </c>
      <c r="K154" t="n">
        <v>0.545305816342822</v>
      </c>
      <c r="L154" t="n">
        <v>0.6802485192658896</v>
      </c>
      <c r="M154" t="n">
        <v>0.880726566273579</v>
      </c>
      <c r="N154" t="n">
        <v>0.4580267829590774</v>
      </c>
      <c r="O154" t="n">
        <v>0.03587368340669903</v>
      </c>
      <c r="P154" t="n">
        <v>0.1327892775287288</v>
      </c>
      <c r="Q154" t="n">
        <v>153</v>
      </c>
    </row>
    <row r="155">
      <c r="A155" t="inlineStr">
        <is>
          <t>HRUWWTP_0001116_001</t>
        </is>
      </c>
      <c r="B155" t="n">
        <v>0.460373578425877</v>
      </c>
      <c r="C155" t="n">
        <v>0.4119025592938094</v>
      </c>
      <c r="D155" t="n">
        <v>0.5092050124109346</v>
      </c>
      <c r="E155" t="n">
        <v>151.33528</v>
      </c>
      <c r="F155" t="n">
        <v>128</v>
      </c>
      <c r="G155" t="n">
        <v>171</v>
      </c>
      <c r="H155" t="n">
        <v>8.715750531173168</v>
      </c>
      <c r="I155" t="n">
        <v>43</v>
      </c>
      <c r="J155" t="n">
        <v>0</v>
      </c>
      <c r="K155" t="n">
        <v>0.6946043627295915</v>
      </c>
      <c r="L155" t="n">
        <v>0.718195407862806</v>
      </c>
      <c r="M155" t="n">
        <v>0.3556111062766822</v>
      </c>
      <c r="N155" t="n">
        <v>0.5112332225787517</v>
      </c>
      <c r="O155" t="n">
        <v>0.06781358043064346</v>
      </c>
      <c r="P155" t="n">
        <v>0.3332337325844886</v>
      </c>
      <c r="Q155" t="n">
        <v>154</v>
      </c>
    </row>
    <row r="156">
      <c r="A156" t="inlineStr">
        <is>
          <t>FR025435700075</t>
        </is>
      </c>
      <c r="B156" t="n">
        <v>0.4572874838083072</v>
      </c>
      <c r="C156" t="n">
        <v>0.4068437051621545</v>
      </c>
      <c r="D156" t="n">
        <v>0.5077727721008649</v>
      </c>
      <c r="E156" t="n">
        <v>152.79072</v>
      </c>
      <c r="F156" t="n">
        <v>129</v>
      </c>
      <c r="G156" t="n">
        <v>172</v>
      </c>
      <c r="H156" t="n">
        <v>8.454262941356566</v>
      </c>
      <c r="I156" t="n">
        <v>43</v>
      </c>
      <c r="J156" t="n">
        <v>0</v>
      </c>
      <c r="K156" t="n">
        <v>0.5845654473586175</v>
      </c>
      <c r="L156" t="n">
        <v>0.6733507806421167</v>
      </c>
      <c r="M156" t="n">
        <v>0.5314598119192903</v>
      </c>
      <c r="N156" t="n">
        <v>0.5221216526249952</v>
      </c>
      <c r="O156" t="n">
        <v>0.02511456577510598</v>
      </c>
      <c r="P156" t="n">
        <v>0.3332337325844886</v>
      </c>
      <c r="Q156" t="n">
        <v>155</v>
      </c>
    </row>
    <row r="157">
      <c r="A157" t="inlineStr">
        <is>
          <t>IT15Q90000003627</t>
        </is>
      </c>
      <c r="B157" t="n">
        <v>0.4511530624383748</v>
      </c>
      <c r="C157" t="n">
        <v>0.4032755005984112</v>
      </c>
      <c r="D157" t="n">
        <v>0.5000627794247554</v>
      </c>
      <c r="E157" t="n">
        <v>156.44444</v>
      </c>
      <c r="F157" t="n">
        <v>140</v>
      </c>
      <c r="G157" t="n">
        <v>169</v>
      </c>
      <c r="H157" t="n">
        <v>5.816606664233269</v>
      </c>
      <c r="I157" t="n">
        <v>29</v>
      </c>
      <c r="J157" t="n">
        <v>0</v>
      </c>
      <c r="K157" t="n">
        <v>0.4875665354122758</v>
      </c>
      <c r="L157" t="n">
        <v>0.6961081529241062</v>
      </c>
      <c r="M157" t="n">
        <v>0.7399979645590812</v>
      </c>
      <c r="N157" t="n">
        <v>0</v>
      </c>
      <c r="O157" t="n">
        <v>0.138288637727988</v>
      </c>
      <c r="P157" t="n">
        <v>0.598314068986763</v>
      </c>
      <c r="Q157" t="n">
        <v>156</v>
      </c>
    </row>
    <row r="158">
      <c r="A158" t="inlineStr">
        <is>
          <t>IT12000000000304</t>
        </is>
      </c>
      <c r="B158" t="n">
        <v>0.4490444771362852</v>
      </c>
      <c r="C158" t="n">
        <v>0.3988438229293627</v>
      </c>
      <c r="D158" t="n">
        <v>0.4996489544080423</v>
      </c>
      <c r="E158" t="n">
        <v>157.45618</v>
      </c>
      <c r="F158" t="n">
        <v>140</v>
      </c>
      <c r="G158" t="n">
        <v>170</v>
      </c>
      <c r="H158" t="n">
        <v>5.779640110560554</v>
      </c>
      <c r="I158" t="n">
        <v>30</v>
      </c>
      <c r="J158" t="n">
        <v>0</v>
      </c>
      <c r="K158" t="n">
        <v>0.3710102549609313</v>
      </c>
      <c r="L158" t="n">
        <v>0.7204589363064806</v>
      </c>
      <c r="M158" t="n">
        <v>0.9205876521176859</v>
      </c>
      <c r="N158" t="n">
        <v>0</v>
      </c>
      <c r="O158" t="n">
        <v>0.1933363149317703</v>
      </c>
      <c r="P158" t="n">
        <v>0.3335679815942918</v>
      </c>
      <c r="Q158" t="n">
        <v>157</v>
      </c>
    </row>
    <row r="159">
      <c r="A159" t="inlineStr">
        <is>
          <t>UKENAN_AW_TP000069</t>
        </is>
      </c>
      <c r="B159" t="n">
        <v>0.4480168746278503</v>
      </c>
      <c r="C159" t="n">
        <v>0.4018692171920804</v>
      </c>
      <c r="D159" t="n">
        <v>0.4939998753045013</v>
      </c>
      <c r="E159" t="n">
        <v>157.7478</v>
      </c>
      <c r="F159" t="n">
        <v>142</v>
      </c>
      <c r="G159" t="n">
        <v>170</v>
      </c>
      <c r="H159" t="n">
        <v>5.650443802038813</v>
      </c>
      <c r="I159" t="n">
        <v>28</v>
      </c>
      <c r="J159" t="n">
        <v>0</v>
      </c>
      <c r="K159" t="n">
        <v>0.8018710613732175</v>
      </c>
      <c r="L159" t="n">
        <v>0.6568071885280132</v>
      </c>
      <c r="M159" t="n">
        <v>0.4428468373828391</v>
      </c>
      <c r="N159" t="n">
        <v>0.5464929851561449</v>
      </c>
      <c r="O159" t="n">
        <v>0.005713903931729782</v>
      </c>
      <c r="P159" t="n">
        <v>0.3335679815942918</v>
      </c>
      <c r="Q159" t="n">
        <v>158</v>
      </c>
    </row>
    <row r="160">
      <c r="A160" t="inlineStr">
        <is>
          <t>DETP_BW1175100000062</t>
        </is>
      </c>
      <c r="B160" t="n">
        <v>0.4453486888607729</v>
      </c>
      <c r="C160" t="n">
        <v>0.3934094122988933</v>
      </c>
      <c r="D160" t="n">
        <v>0.4996028900924223</v>
      </c>
      <c r="E160" t="n">
        <v>159.11796</v>
      </c>
      <c r="F160" t="n">
        <v>150</v>
      </c>
      <c r="G160" t="n">
        <v>166</v>
      </c>
      <c r="H160" t="n">
        <v>3.259675664602006</v>
      </c>
      <c r="I160" t="n">
        <v>16</v>
      </c>
      <c r="J160" t="n">
        <v>0</v>
      </c>
      <c r="K160" t="n">
        <v>0.4620826192937512</v>
      </c>
      <c r="L160" t="n">
        <v>0.7092908447162422</v>
      </c>
      <c r="M160" t="n">
        <v>0.9161353539844382</v>
      </c>
      <c r="N160" t="n">
        <v>0.1499999999998699</v>
      </c>
      <c r="O160" t="n">
        <v>0.03328366950724134</v>
      </c>
      <c r="P160" t="n">
        <v>0.3335679815942918</v>
      </c>
      <c r="Q160" t="n">
        <v>159</v>
      </c>
    </row>
    <row r="161">
      <c r="A161" t="inlineStr">
        <is>
          <t>DETP_NI253014201</t>
        </is>
      </c>
      <c r="B161" t="n">
        <v>0.4427282732154917</v>
      </c>
      <c r="C161" t="n">
        <v>0.4021129678792666</v>
      </c>
      <c r="D161" t="n">
        <v>0.4854351704752145</v>
      </c>
      <c r="E161" t="n">
        <v>160.22808</v>
      </c>
      <c r="F161" t="n">
        <v>148</v>
      </c>
      <c r="G161" t="n">
        <v>170</v>
      </c>
      <c r="H161" t="n">
        <v>4.535890156695028</v>
      </c>
      <c r="I161" t="n">
        <v>22</v>
      </c>
      <c r="J161" t="n">
        <v>0</v>
      </c>
      <c r="K161" t="n">
        <v>0.6281179890493207</v>
      </c>
      <c r="L161" t="n">
        <v>0.5370802223909054</v>
      </c>
      <c r="M161" t="n">
        <v>0.7828713430532255</v>
      </c>
      <c r="N161" t="n">
        <v>0.1499999999998699</v>
      </c>
      <c r="O161" t="n">
        <v>0.1420642532854906</v>
      </c>
      <c r="P161" t="n">
        <v>0.6551646779778995</v>
      </c>
      <c r="Q161" t="n">
        <v>160</v>
      </c>
    </row>
    <row r="162">
      <c r="A162" t="inlineStr">
        <is>
          <t>SI_KCN_00098</t>
        </is>
      </c>
      <c r="B162" t="n">
        <v>0.4418123223992656</v>
      </c>
      <c r="C162" t="n">
        <v>0.397936838467694</v>
      </c>
      <c r="D162" t="n">
        <v>0.4869151566537439</v>
      </c>
      <c r="E162" t="n">
        <v>160.52248</v>
      </c>
      <c r="F162" t="n">
        <v>149</v>
      </c>
      <c r="G162" t="n">
        <v>171</v>
      </c>
      <c r="H162" t="n">
        <v>4.634649355625704</v>
      </c>
      <c r="I162" t="n">
        <v>22</v>
      </c>
      <c r="J162" t="n">
        <v>0</v>
      </c>
      <c r="K162" t="n">
        <v>0.4630464970434929</v>
      </c>
      <c r="L162" t="n">
        <v>0.6538255804117927</v>
      </c>
      <c r="M162" t="n">
        <v>0.8244287117954959</v>
      </c>
      <c r="N162" t="n">
        <v>0.475383489577276</v>
      </c>
      <c r="O162" t="n">
        <v>0.01173282321023554</v>
      </c>
      <c r="P162" t="n">
        <v>0.132437124177934</v>
      </c>
      <c r="Q162" t="n">
        <v>161</v>
      </c>
    </row>
    <row r="163">
      <c r="A163" t="inlineStr">
        <is>
          <t>IT03160128000384</t>
        </is>
      </c>
      <c r="B163" t="n">
        <v>0.4417796743519724</v>
      </c>
      <c r="C163" t="n">
        <v>0.3883645046546071</v>
      </c>
      <c r="D163" t="n">
        <v>0.4969924268497681</v>
      </c>
      <c r="E163" t="n">
        <v>160.60134</v>
      </c>
      <c r="F163" t="n">
        <v>142</v>
      </c>
      <c r="G163" t="n">
        <v>175</v>
      </c>
      <c r="H163" t="n">
        <v>6.612951701350735</v>
      </c>
      <c r="I163" t="n">
        <v>33</v>
      </c>
      <c r="J163" t="n">
        <v>0</v>
      </c>
      <c r="K163" t="n">
        <v>0.001739627904782987</v>
      </c>
      <c r="L163" t="n">
        <v>0.5449474765526626</v>
      </c>
      <c r="M163" t="n">
        <v>0.98374882785822</v>
      </c>
      <c r="N163" t="n">
        <v>0</v>
      </c>
      <c r="O163" t="n">
        <v>0.05500828646066772</v>
      </c>
      <c r="P163" t="n">
        <v>0.8808162300414871</v>
      </c>
      <c r="Q163" t="n">
        <v>162</v>
      </c>
    </row>
    <row r="164">
      <c r="A164" t="inlineStr">
        <is>
          <t>FR0472181S0016</t>
        </is>
      </c>
      <c r="B164" t="n">
        <v>0.4383237110458409</v>
      </c>
      <c r="C164" t="n">
        <v>0.3912982024386963</v>
      </c>
      <c r="D164" t="n">
        <v>0.4864843345712995</v>
      </c>
      <c r="E164" t="n">
        <v>162.0653</v>
      </c>
      <c r="F164" t="n">
        <v>148</v>
      </c>
      <c r="G164" t="n">
        <v>174</v>
      </c>
      <c r="H164" t="n">
        <v>5.381750264551631</v>
      </c>
      <c r="I164" t="n">
        <v>26</v>
      </c>
      <c r="J164" t="n">
        <v>0</v>
      </c>
      <c r="K164" t="n">
        <v>0.7124926604835852</v>
      </c>
      <c r="L164" t="n">
        <v>0.6522208602242805</v>
      </c>
      <c r="M164" t="n">
        <v>0.8480580731320885</v>
      </c>
      <c r="N164" t="n">
        <v>0.4685381907363423</v>
      </c>
      <c r="O164" t="n">
        <v>0.004243199938464126</v>
      </c>
      <c r="P164" t="n">
        <v>0.06431382734728269</v>
      </c>
      <c r="Q164" t="n">
        <v>163</v>
      </c>
    </row>
    <row r="165">
      <c r="A165" t="inlineStr">
        <is>
          <t>ES10461100001010E</t>
        </is>
      </c>
      <c r="B165" t="n">
        <v>0.4383059456184463</v>
      </c>
      <c r="C165" t="n">
        <v>0.3862185381410245</v>
      </c>
      <c r="D165" t="n">
        <v>0.4919988488290227</v>
      </c>
      <c r="E165" t="n">
        <v>162.01294</v>
      </c>
      <c r="F165" t="n">
        <v>148</v>
      </c>
      <c r="G165" t="n">
        <v>172</v>
      </c>
      <c r="H165" t="n">
        <v>4.863757041259603</v>
      </c>
      <c r="I165" t="n">
        <v>24</v>
      </c>
      <c r="J165" t="n">
        <v>0</v>
      </c>
      <c r="K165" t="n">
        <v>0.6047419700290634</v>
      </c>
      <c r="L165" t="n">
        <v>0.6270650138739392</v>
      </c>
      <c r="M165" t="n">
        <v>0.7468929974422737</v>
      </c>
      <c r="N165" t="n">
        <v>0</v>
      </c>
      <c r="O165" t="n">
        <v>0.01757177548259811</v>
      </c>
      <c r="P165" t="n">
        <v>0.7938532295258829</v>
      </c>
      <c r="Q165" t="n">
        <v>164</v>
      </c>
    </row>
    <row r="166">
      <c r="A166" t="inlineStr">
        <is>
          <t>DETP_BW3165100000008</t>
        </is>
      </c>
      <c r="B166" t="n">
        <v>0.4368017993169005</v>
      </c>
      <c r="C166" t="n">
        <v>0.3860993157261218</v>
      </c>
      <c r="D166" t="n">
        <v>0.4900534934912769</v>
      </c>
      <c r="E166" t="n">
        <v>162.86558</v>
      </c>
      <c r="F166" t="n">
        <v>149</v>
      </c>
      <c r="G166" t="n">
        <v>173</v>
      </c>
      <c r="H166" t="n">
        <v>4.734223406600147</v>
      </c>
      <c r="I166" t="n">
        <v>24</v>
      </c>
      <c r="J166" t="n">
        <v>0</v>
      </c>
      <c r="K166" t="n">
        <v>0.321743781050474</v>
      </c>
      <c r="L166" t="n">
        <v>0.6690487177837448</v>
      </c>
      <c r="M166" t="n">
        <v>0.7047264948594905</v>
      </c>
      <c r="N166" t="n">
        <v>0</v>
      </c>
      <c r="O166" t="n">
        <v>0.1032140447932074</v>
      </c>
      <c r="P166" t="n">
        <v>0.6667662674155113</v>
      </c>
      <c r="Q166" t="n">
        <v>165</v>
      </c>
    </row>
    <row r="167">
      <c r="A167" t="inlineStr">
        <is>
          <t>FR060969199001</t>
        </is>
      </c>
      <c r="B167" t="n">
        <v>0.4272730368487202</v>
      </c>
      <c r="C167" t="n">
        <v>0.3848201254766808</v>
      </c>
      <c r="D167" t="n">
        <v>0.4706023506265057</v>
      </c>
      <c r="E167" t="n">
        <v>166.82072</v>
      </c>
      <c r="F167" t="n">
        <v>153</v>
      </c>
      <c r="G167" t="n">
        <v>179</v>
      </c>
      <c r="H167" t="n">
        <v>5.20422315832042</v>
      </c>
      <c r="I167" t="n">
        <v>26</v>
      </c>
      <c r="J167" t="n">
        <v>0</v>
      </c>
      <c r="K167" t="n">
        <v>0.4658306471004735</v>
      </c>
      <c r="L167" t="n">
        <v>0.614859667286201</v>
      </c>
      <c r="M167" t="n">
        <v>0.7915181949967925</v>
      </c>
      <c r="N167" t="n">
        <v>0.506942763339822</v>
      </c>
      <c r="O167" t="n">
        <v>0.09983915735975528</v>
      </c>
      <c r="P167" t="n">
        <v>0</v>
      </c>
      <c r="Q167" t="n">
        <v>166</v>
      </c>
    </row>
    <row r="168">
      <c r="A168" t="inlineStr">
        <is>
          <t>ES8130050002010E</t>
        </is>
      </c>
      <c r="B168" t="n">
        <v>0.4254696266613569</v>
      </c>
      <c r="C168" t="n">
        <v>0.3683495456471769</v>
      </c>
      <c r="D168" t="n">
        <v>0.4849117988548918</v>
      </c>
      <c r="E168" t="n">
        <v>167.17312</v>
      </c>
      <c r="F168" t="n">
        <v>158</v>
      </c>
      <c r="G168" t="n">
        <v>174</v>
      </c>
      <c r="H168" t="n">
        <v>3.065679282899677</v>
      </c>
      <c r="I168" t="n">
        <v>16</v>
      </c>
      <c r="J168" t="n">
        <v>0</v>
      </c>
      <c r="K168" t="n">
        <v>0.821253469511987</v>
      </c>
      <c r="L168" t="n">
        <v>0.7357393007435472</v>
      </c>
      <c r="M168" t="n">
        <v>0.7981577334250195</v>
      </c>
      <c r="N168" t="n">
        <v>0</v>
      </c>
      <c r="O168" t="n">
        <v>0.002334813844569599</v>
      </c>
      <c r="P168" t="n">
        <v>0.3918607713560687</v>
      </c>
      <c r="Q168" t="n">
        <v>167</v>
      </c>
    </row>
    <row r="169">
      <c r="A169" t="inlineStr">
        <is>
          <t>ES3330441901011E</t>
        </is>
      </c>
      <c r="B169" t="n">
        <v>0.4252347520407945</v>
      </c>
      <c r="C169" t="n">
        <v>0.3704502682799738</v>
      </c>
      <c r="D169" t="n">
        <v>0.4822661226612101</v>
      </c>
      <c r="E169" t="n">
        <v>167.26678</v>
      </c>
      <c r="F169" t="n">
        <v>158</v>
      </c>
      <c r="G169" t="n">
        <v>174</v>
      </c>
      <c r="H169" t="n">
        <v>3.002207259933928</v>
      </c>
      <c r="I169" t="n">
        <v>16</v>
      </c>
      <c r="J169" t="n">
        <v>0</v>
      </c>
      <c r="K169" t="n">
        <v>0.6932709750148597</v>
      </c>
      <c r="L169" t="n">
        <v>0.7205424958130924</v>
      </c>
      <c r="M169" t="n">
        <v>0.8355601470569735</v>
      </c>
      <c r="N169" t="n">
        <v>0</v>
      </c>
      <c r="O169" t="n">
        <v>0.07054888160326539</v>
      </c>
      <c r="P169" t="n">
        <v>0.3335679815942918</v>
      </c>
      <c r="Q169" t="n">
        <v>168</v>
      </c>
    </row>
    <row r="170">
      <c r="A170" t="inlineStr">
        <is>
          <t>ES17260890002010E</t>
        </is>
      </c>
      <c r="B170" t="n">
        <v>0.4251299309862924</v>
      </c>
      <c r="C170" t="n">
        <v>0.3682909282329065</v>
      </c>
      <c r="D170" t="n">
        <v>0.4843832599543053</v>
      </c>
      <c r="E170" t="n">
        <v>167.52064</v>
      </c>
      <c r="F170" t="n">
        <v>152</v>
      </c>
      <c r="G170" t="n">
        <v>178</v>
      </c>
      <c r="H170" t="n">
        <v>4.9956114731225</v>
      </c>
      <c r="I170" t="n">
        <v>26</v>
      </c>
      <c r="J170" t="n">
        <v>0</v>
      </c>
      <c r="K170" t="n">
        <v>0.6902799335295543</v>
      </c>
      <c r="L170" t="n">
        <v>0.74612909742815</v>
      </c>
      <c r="M170" t="n">
        <v>0.4205219462346431</v>
      </c>
      <c r="N170" t="n">
        <v>0</v>
      </c>
      <c r="O170" t="n">
        <v>0.02678836160110278</v>
      </c>
      <c r="P170" t="n">
        <v>0.666801714178788</v>
      </c>
      <c r="Q170" t="n">
        <v>169</v>
      </c>
    </row>
    <row r="171">
      <c r="A171" t="inlineStr">
        <is>
          <t>IETP_D0033</t>
        </is>
      </c>
      <c r="B171" t="n">
        <v>0.4198300428603544</v>
      </c>
      <c r="C171" t="n">
        <v>0.365741099643753</v>
      </c>
      <c r="D171" t="n">
        <v>0.4756610252799354</v>
      </c>
      <c r="E171" t="n">
        <v>169.97756</v>
      </c>
      <c r="F171" t="n">
        <v>162</v>
      </c>
      <c r="G171" t="n">
        <v>176</v>
      </c>
      <c r="H171" t="n">
        <v>2.702971780541028</v>
      </c>
      <c r="I171" t="n">
        <v>14</v>
      </c>
      <c r="J171" t="n">
        <v>0</v>
      </c>
      <c r="K171" t="n">
        <v>0.9359253303752894</v>
      </c>
      <c r="L171" t="n">
        <v>0.6888009020126179</v>
      </c>
      <c r="M171" t="n">
        <v>0.8123144302625989</v>
      </c>
      <c r="N171" t="n">
        <v>0</v>
      </c>
      <c r="O171" t="n">
        <v>0.07853785533109553</v>
      </c>
      <c r="P171" t="n">
        <v>0.3335679815942918</v>
      </c>
      <c r="Q171" t="n">
        <v>170</v>
      </c>
    </row>
    <row r="172">
      <c r="A172" t="inlineStr">
        <is>
          <t>FR060921231001</t>
        </is>
      </c>
      <c r="B172" t="n">
        <v>0.4159197271232351</v>
      </c>
      <c r="C172" t="n">
        <v>0.3648515626615275</v>
      </c>
      <c r="D172" t="n">
        <v>0.4682735374259809</v>
      </c>
      <c r="E172" t="n">
        <v>171.01184</v>
      </c>
      <c r="F172" t="n">
        <v>156</v>
      </c>
      <c r="G172" t="n">
        <v>184</v>
      </c>
      <c r="H172" t="n">
        <v>5.828068274685928</v>
      </c>
      <c r="I172" t="n">
        <v>28</v>
      </c>
      <c r="J172" t="n">
        <v>0</v>
      </c>
      <c r="K172" t="n">
        <v>0.5824372121450216</v>
      </c>
      <c r="L172" t="n">
        <v>0.6781882440097338</v>
      </c>
      <c r="M172" t="n">
        <v>0.5595149593998311</v>
      </c>
      <c r="N172" t="n">
        <v>0.5517760373404461</v>
      </c>
      <c r="O172" t="n">
        <v>0.009654294785021595</v>
      </c>
      <c r="P172" t="n">
        <v>0</v>
      </c>
      <c r="Q172" t="n">
        <v>171</v>
      </c>
    </row>
    <row r="173">
      <c r="A173" t="inlineStr">
        <is>
          <t>UKENMI_ST_TP000068</t>
        </is>
      </c>
      <c r="B173" t="n">
        <v>0.4126989569495064</v>
      </c>
      <c r="C173" t="n">
        <v>0.3677962964435851</v>
      </c>
      <c r="D173" t="n">
        <v>0.4596214619835814</v>
      </c>
      <c r="E173" t="n">
        <v>172.06798</v>
      </c>
      <c r="F173" t="n">
        <v>165</v>
      </c>
      <c r="G173" t="n">
        <v>178</v>
      </c>
      <c r="H173" t="n">
        <v>2.437834842559663</v>
      </c>
      <c r="I173" t="n">
        <v>13</v>
      </c>
      <c r="J173" t="n">
        <v>0</v>
      </c>
      <c r="K173" t="n">
        <v>0.7824456503586132</v>
      </c>
      <c r="L173" t="n">
        <v>0.6507162058849032</v>
      </c>
      <c r="M173" t="n">
        <v>0.4726480984338199</v>
      </c>
      <c r="N173" t="n">
        <v>0.1499999999998699</v>
      </c>
      <c r="O173" t="n">
        <v>0.03377745464074707</v>
      </c>
      <c r="P173" t="n">
        <v>0.5468291615832684</v>
      </c>
      <c r="Q173" t="n">
        <v>172</v>
      </c>
    </row>
    <row r="174">
      <c r="A174" t="inlineStr">
        <is>
          <t>UKENAN_AW_TP000107</t>
        </is>
      </c>
      <c r="B174" t="n">
        <v>0.4091533654919062</v>
      </c>
      <c r="C174" t="n">
        <v>0.3529657566718771</v>
      </c>
      <c r="D174" t="n">
        <v>0.4674833437796831</v>
      </c>
      <c r="E174" t="n">
        <v>173.69126</v>
      </c>
      <c r="F174" t="n">
        <v>167</v>
      </c>
      <c r="G174" t="n">
        <v>180</v>
      </c>
      <c r="H174" t="n">
        <v>2.480769963620363</v>
      </c>
      <c r="I174" t="n">
        <v>13</v>
      </c>
      <c r="J174" t="n">
        <v>0</v>
      </c>
      <c r="K174" t="n">
        <v>0.7987450679895426</v>
      </c>
      <c r="L174" t="n">
        <v>0.7104609633671864</v>
      </c>
      <c r="M174" t="n">
        <v>0.8018788292338057</v>
      </c>
      <c r="N174" t="n">
        <v>0</v>
      </c>
      <c r="O174" t="n">
        <v>0.007712457145656815</v>
      </c>
      <c r="P174" t="n">
        <v>0.3335679815942918</v>
      </c>
      <c r="Q174" t="n">
        <v>173</v>
      </c>
    </row>
    <row r="175">
      <c r="A175" t="inlineStr">
        <is>
          <t>DETP_NW608</t>
        </is>
      </c>
      <c r="B175" t="n">
        <v>0.4072283395103746</v>
      </c>
      <c r="C175" t="n">
        <v>0.36826969526001</v>
      </c>
      <c r="D175" t="n">
        <v>0.4457578388038044</v>
      </c>
      <c r="E175" t="n">
        <v>173.9206</v>
      </c>
      <c r="F175" t="n">
        <v>161</v>
      </c>
      <c r="G175" t="n">
        <v>185</v>
      </c>
      <c r="H175" t="n">
        <v>5.196973700144984</v>
      </c>
      <c r="I175" t="n">
        <v>24</v>
      </c>
      <c r="J175" t="n">
        <v>0</v>
      </c>
      <c r="K175" t="n">
        <v>0.6199553722791796</v>
      </c>
      <c r="L175" t="n">
        <v>0.5251975325291528</v>
      </c>
      <c r="M175" t="n">
        <v>0.7248973054687536</v>
      </c>
      <c r="N175" t="n">
        <v>0.5804132589692015</v>
      </c>
      <c r="O175" t="n">
        <v>0.1032140447932074</v>
      </c>
      <c r="P175" t="n">
        <v>0</v>
      </c>
      <c r="Q175" t="n">
        <v>174</v>
      </c>
    </row>
    <row r="176">
      <c r="A176" t="inlineStr">
        <is>
          <t>PT5000519</t>
        </is>
      </c>
      <c r="B176" t="n">
        <v>0.4013899741003225</v>
      </c>
      <c r="C176" t="n">
        <v>0.3475435224045575</v>
      </c>
      <c r="D176" t="n">
        <v>0.4570703196469162</v>
      </c>
      <c r="E176" t="n">
        <v>176.19418</v>
      </c>
      <c r="F176" t="n">
        <v>169</v>
      </c>
      <c r="G176" t="n">
        <v>183</v>
      </c>
      <c r="H176" t="n">
        <v>2.960039548316897</v>
      </c>
      <c r="I176" t="n">
        <v>14</v>
      </c>
      <c r="J176" t="n">
        <v>0</v>
      </c>
      <c r="K176" t="n">
        <v>0.8372904604647716</v>
      </c>
      <c r="L176" t="n">
        <v>0.7106133213852954</v>
      </c>
      <c r="M176" t="n">
        <v>0.4399773019315523</v>
      </c>
      <c r="N176" t="n">
        <v>0</v>
      </c>
      <c r="O176" t="n">
        <v>0.03183210949515456</v>
      </c>
      <c r="P176" t="n">
        <v>0.5374892070463854</v>
      </c>
      <c r="Q176" t="n">
        <v>175</v>
      </c>
    </row>
    <row r="177">
      <c r="A177" t="inlineStr">
        <is>
          <t>PT20501079</t>
        </is>
      </c>
      <c r="B177" t="n">
        <v>0.4006535511160335</v>
      </c>
      <c r="C177" t="n">
        <v>0.3424788741698647</v>
      </c>
      <c r="D177" t="n">
        <v>0.4609079651803238</v>
      </c>
      <c r="E177" t="n">
        <v>176.08228</v>
      </c>
      <c r="F177" t="n">
        <v>162</v>
      </c>
      <c r="G177" t="n">
        <v>186</v>
      </c>
      <c r="H177" t="n">
        <v>4.624996216387641</v>
      </c>
      <c r="I177" t="n">
        <v>24</v>
      </c>
      <c r="J177" t="n">
        <v>0</v>
      </c>
      <c r="K177" t="n">
        <v>0.9640664045291872</v>
      </c>
      <c r="L177" t="n">
        <v>0.7070880872506005</v>
      </c>
      <c r="M177" t="n">
        <v>0.2902599505559241</v>
      </c>
      <c r="N177" t="n">
        <v>0</v>
      </c>
      <c r="O177" t="n">
        <v>0.009429466037370975</v>
      </c>
      <c r="P177" t="n">
        <v>0.6667662674155113</v>
      </c>
      <c r="Q177" t="n">
        <v>176</v>
      </c>
    </row>
    <row r="178">
      <c r="A178" t="inlineStr">
        <is>
          <t>ES13280790001013E</t>
        </is>
      </c>
      <c r="B178" t="n">
        <v>0.3992309462916589</v>
      </c>
      <c r="C178" t="n">
        <v>0.3549088335271314</v>
      </c>
      <c r="D178" t="n">
        <v>0.4466268777594848</v>
      </c>
      <c r="E178" t="n">
        <v>176.15966</v>
      </c>
      <c r="F178" t="n">
        <v>160</v>
      </c>
      <c r="G178" t="n">
        <v>187</v>
      </c>
      <c r="H178" t="n">
        <v>5.942151856390722</v>
      </c>
      <c r="I178" t="n">
        <v>27</v>
      </c>
      <c r="J178" t="n">
        <v>0</v>
      </c>
      <c r="K178" t="n">
        <v>0.7417995790012073</v>
      </c>
      <c r="L178" t="n">
        <v>0.4182208510687486</v>
      </c>
      <c r="M178" t="n">
        <v>0.8254364011375706</v>
      </c>
      <c r="N178" t="n">
        <v>0</v>
      </c>
      <c r="O178" t="n">
        <v>0.2205565152622439</v>
      </c>
      <c r="P178" t="n">
        <v>0.666801714178788</v>
      </c>
      <c r="Q178" t="n">
        <v>177</v>
      </c>
    </row>
    <row r="179">
      <c r="A179" t="inlineStr">
        <is>
          <t>ES1140210009010E</t>
        </is>
      </c>
      <c r="B179" t="n">
        <v>0.3927461640900843</v>
      </c>
      <c r="C179" t="n">
        <v>0.3430505063859269</v>
      </c>
      <c r="D179" t="n">
        <v>0.4449280673485252</v>
      </c>
      <c r="E179" t="n">
        <v>178.65996</v>
      </c>
      <c r="F179" t="n">
        <v>173</v>
      </c>
      <c r="G179" t="n">
        <v>183</v>
      </c>
      <c r="H179" t="n">
        <v>2.226929006143063</v>
      </c>
      <c r="I179" t="n">
        <v>10</v>
      </c>
      <c r="J179" t="n">
        <v>0</v>
      </c>
      <c r="K179" t="n">
        <v>0.6307050741777344</v>
      </c>
      <c r="L179" t="n">
        <v>0.6667979629226664</v>
      </c>
      <c r="M179" t="n">
        <v>0.7157434141351645</v>
      </c>
      <c r="N179" t="n">
        <v>0</v>
      </c>
      <c r="O179" t="n">
        <v>0.08022764992108247</v>
      </c>
      <c r="P179" t="n">
        <v>0.3335679815942918</v>
      </c>
      <c r="Q179" t="n">
        <v>178</v>
      </c>
    </row>
    <row r="180">
      <c r="A180" t="inlineStr">
        <is>
          <t>FR0533039V005</t>
        </is>
      </c>
      <c r="B180" t="n">
        <v>0.3912261838888736</v>
      </c>
      <c r="C180" t="n">
        <v>0.348422389425621</v>
      </c>
      <c r="D180" t="n">
        <v>0.4346264083808031</v>
      </c>
      <c r="E180" t="n">
        <v>179.39844</v>
      </c>
      <c r="F180" t="n">
        <v>169</v>
      </c>
      <c r="G180" t="n">
        <v>188</v>
      </c>
      <c r="H180" t="n">
        <v>4.17184438424997</v>
      </c>
      <c r="I180" t="n">
        <v>19</v>
      </c>
      <c r="J180" t="n">
        <v>0</v>
      </c>
      <c r="K180" t="n">
        <v>0.6143832938980297</v>
      </c>
      <c r="L180" t="n">
        <v>0.561181593917113</v>
      </c>
      <c r="M180" t="n">
        <v>0.8336732450674769</v>
      </c>
      <c r="N180" t="n">
        <v>0.4489826351808145</v>
      </c>
      <c r="O180" t="n">
        <v>0.01094259916662355</v>
      </c>
      <c r="P180" t="n">
        <v>0</v>
      </c>
      <c r="Q180" t="n">
        <v>179</v>
      </c>
    </row>
    <row r="181">
      <c r="A181" t="inlineStr">
        <is>
          <t>PT18075792</t>
        </is>
      </c>
      <c r="B181" t="n">
        <v>0.3909491242339356</v>
      </c>
      <c r="C181" t="n">
        <v>0.3400185867371173</v>
      </c>
      <c r="D181" t="n">
        <v>0.4434862422770319</v>
      </c>
      <c r="E181" t="n">
        <v>179.3348</v>
      </c>
      <c r="F181" t="n">
        <v>174</v>
      </c>
      <c r="G181" t="n">
        <v>184</v>
      </c>
      <c r="H181" t="n">
        <v>2.188540372028786</v>
      </c>
      <c r="I181" t="n">
        <v>10</v>
      </c>
      <c r="J181" t="n">
        <v>0</v>
      </c>
      <c r="K181" t="n">
        <v>0.8263451690604859</v>
      </c>
      <c r="L181" t="n">
        <v>0.6247911067151438</v>
      </c>
      <c r="M181" t="n">
        <v>0.7170669536256279</v>
      </c>
      <c r="N181" t="n">
        <v>0</v>
      </c>
      <c r="O181" t="n">
        <v>0.009042652879643927</v>
      </c>
      <c r="P181" t="n">
        <v>0.4698100397865686</v>
      </c>
      <c r="Q181" t="n">
        <v>180</v>
      </c>
    </row>
    <row r="182">
      <c r="A182" t="inlineStr">
        <is>
          <t>DETP_BE02</t>
        </is>
      </c>
      <c r="B182" t="n">
        <v>0.3890867305799304</v>
      </c>
      <c r="C182" t="n">
        <v>0.3455920205273644</v>
      </c>
      <c r="D182" t="n">
        <v>0.4352445025857076</v>
      </c>
      <c r="E182" t="n">
        <v>179.8726</v>
      </c>
      <c r="F182" t="n">
        <v>168</v>
      </c>
      <c r="G182" t="n">
        <v>187</v>
      </c>
      <c r="H182" t="n">
        <v>4.005322613723727</v>
      </c>
      <c r="I182" t="n">
        <v>19</v>
      </c>
      <c r="J182" t="n">
        <v>0</v>
      </c>
      <c r="K182" t="n">
        <v>0.5996136378159743</v>
      </c>
      <c r="L182" t="n">
        <v>0.4290456301347716</v>
      </c>
      <c r="M182" t="n">
        <v>0.8227866347088327</v>
      </c>
      <c r="N182" t="n">
        <v>0</v>
      </c>
      <c r="O182" t="n">
        <v>0.1296321865677353</v>
      </c>
      <c r="P182" t="n">
        <v>0.7152372177704974</v>
      </c>
      <c r="Q182" t="n">
        <v>181</v>
      </c>
    </row>
    <row r="183">
      <c r="A183" t="inlineStr">
        <is>
          <t>UKENMI_ST_TP000156</t>
        </is>
      </c>
      <c r="B183" t="n">
        <v>0.3879188533969984</v>
      </c>
      <c r="C183" t="n">
        <v>0.3536241374990183</v>
      </c>
      <c r="D183" t="n">
        <v>0.4231470571941923</v>
      </c>
      <c r="E183" t="n">
        <v>180.26166</v>
      </c>
      <c r="F183" t="n">
        <v>172</v>
      </c>
      <c r="G183" t="n">
        <v>186</v>
      </c>
      <c r="H183" t="n">
        <v>3.098895616893522</v>
      </c>
      <c r="I183" t="n">
        <v>14</v>
      </c>
      <c r="J183" t="n">
        <v>0</v>
      </c>
      <c r="K183" t="n">
        <v>0.7772456408631173</v>
      </c>
      <c r="L183" t="n">
        <v>0.4270475896741077</v>
      </c>
      <c r="M183" t="n">
        <v>0.777225099665214</v>
      </c>
      <c r="N183" t="n">
        <v>0.1499999999998699</v>
      </c>
      <c r="O183" t="n">
        <v>0.2851667206378223</v>
      </c>
      <c r="P183" t="n">
        <v>0.3335679815942918</v>
      </c>
      <c r="Q183" t="n">
        <v>182</v>
      </c>
    </row>
    <row r="184">
      <c r="A184" t="inlineStr">
        <is>
          <t>EL300026013</t>
        </is>
      </c>
      <c r="B184" t="n">
        <v>0.3806274693034376</v>
      </c>
      <c r="C184" t="n">
        <v>0.3300052830461046</v>
      </c>
      <c r="D184" t="n">
        <v>0.4329181445817228</v>
      </c>
      <c r="E184" t="n">
        <v>182.61764</v>
      </c>
      <c r="F184" t="n">
        <v>178</v>
      </c>
      <c r="G184" t="n">
        <v>186</v>
      </c>
      <c r="H184" t="n">
        <v>1.810690705338832</v>
      </c>
      <c r="I184" t="n">
        <v>8</v>
      </c>
      <c r="J184" t="n">
        <v>0</v>
      </c>
      <c r="K184" t="n">
        <v>0.8047017643716495</v>
      </c>
      <c r="L184" t="n">
        <v>0.6407931854226699</v>
      </c>
      <c r="M184" t="n">
        <v>0.7043148714199495</v>
      </c>
      <c r="N184" t="n">
        <v>0</v>
      </c>
      <c r="O184" t="n">
        <v>0.04365456558979419</v>
      </c>
      <c r="P184" t="n">
        <v>0.3335679815942918</v>
      </c>
      <c r="Q184" t="n">
        <v>183</v>
      </c>
    </row>
    <row r="185">
      <c r="A185" t="inlineStr">
        <is>
          <t>UKENNW_UU_TP000018</t>
        </is>
      </c>
      <c r="B185" t="n">
        <v>0.3756239400483465</v>
      </c>
      <c r="C185" t="n">
        <v>0.3275664690872206</v>
      </c>
      <c r="D185" t="n">
        <v>0.4255682665888124</v>
      </c>
      <c r="E185" t="n">
        <v>183.79162</v>
      </c>
      <c r="F185" t="n">
        <v>178</v>
      </c>
      <c r="G185" t="n">
        <v>188</v>
      </c>
      <c r="H185" t="n">
        <v>1.942461782274919</v>
      </c>
      <c r="I185" t="n">
        <v>10</v>
      </c>
      <c r="J185" t="n">
        <v>0</v>
      </c>
      <c r="K185" t="n">
        <v>0.81658466545254</v>
      </c>
      <c r="L185" t="n">
        <v>0.6807879035552744</v>
      </c>
      <c r="M185" t="n">
        <v>0.3624171888997127</v>
      </c>
      <c r="N185" t="n">
        <v>0.1499999999998699</v>
      </c>
      <c r="O185" t="n">
        <v>0.01328145337474602</v>
      </c>
      <c r="P185" t="n">
        <v>0.3335679815942918</v>
      </c>
      <c r="Q185" t="n">
        <v>184</v>
      </c>
    </row>
    <row r="186">
      <c r="A186" t="inlineStr">
        <is>
          <t>FRCH0000101160</t>
        </is>
      </c>
      <c r="B186" t="n">
        <v>0.3701425048632676</v>
      </c>
      <c r="C186" t="n">
        <v>0.3116265448549804</v>
      </c>
      <c r="D186" t="n">
        <v>0.4312412532803719</v>
      </c>
      <c r="E186" t="n">
        <v>182.32278</v>
      </c>
      <c r="F186" t="n">
        <v>159</v>
      </c>
      <c r="G186" t="n">
        <v>190</v>
      </c>
      <c r="H186" t="n">
        <v>7.060563226230725</v>
      </c>
      <c r="I186" t="n">
        <v>31</v>
      </c>
      <c r="J186" t="n">
        <v>0</v>
      </c>
      <c r="K186" t="n">
        <v>0</v>
      </c>
      <c r="L186" t="n">
        <v>0</v>
      </c>
      <c r="M186" t="n">
        <v>0.8224642278319083</v>
      </c>
      <c r="N186" t="n">
        <v>1</v>
      </c>
      <c r="O186" t="n">
        <v>0.2154702661337152</v>
      </c>
      <c r="P186" t="n">
        <v>0.3335679815942918</v>
      </c>
      <c r="Q186" t="n">
        <v>185</v>
      </c>
    </row>
    <row r="187">
      <c r="A187" t="inlineStr">
        <is>
          <t>ES6390060001010E</t>
        </is>
      </c>
      <c r="B187" t="n">
        <v>0.3699283225690386</v>
      </c>
      <c r="C187" t="n">
        <v>0.3153729288094477</v>
      </c>
      <c r="D187" t="n">
        <v>0.4265808097203166</v>
      </c>
      <c r="E187" t="n">
        <v>184.97936</v>
      </c>
      <c r="F187" t="n">
        <v>177</v>
      </c>
      <c r="G187" t="n">
        <v>189</v>
      </c>
      <c r="H187" t="n">
        <v>2.639684449020005</v>
      </c>
      <c r="I187" t="n">
        <v>12</v>
      </c>
      <c r="J187" t="n">
        <v>0</v>
      </c>
      <c r="K187" t="n">
        <v>0.7462630511460231</v>
      </c>
      <c r="L187" t="n">
        <v>0.6927626012679955</v>
      </c>
      <c r="M187" t="n">
        <v>0.251915506868912</v>
      </c>
      <c r="N187" t="n">
        <v>0</v>
      </c>
      <c r="O187" t="n">
        <v>0.002689948355553955</v>
      </c>
      <c r="P187" t="n">
        <v>0.5709620320090288</v>
      </c>
      <c r="Q187" t="n">
        <v>186</v>
      </c>
    </row>
    <row r="188">
      <c r="A188" t="inlineStr">
        <is>
          <t>ES10030650002001E</t>
        </is>
      </c>
      <c r="B188" t="n">
        <v>0.368860762105316</v>
      </c>
      <c r="C188" t="n">
        <v>0.3167637652558083</v>
      </c>
      <c r="D188" t="n">
        <v>0.4230520441147114</v>
      </c>
      <c r="E188" t="n">
        <v>185.68602</v>
      </c>
      <c r="F188" t="n">
        <v>181</v>
      </c>
      <c r="G188" t="n">
        <v>188</v>
      </c>
      <c r="H188" t="n">
        <v>1.466109327301196</v>
      </c>
      <c r="I188" t="n">
        <v>7</v>
      </c>
      <c r="J188" t="n">
        <v>0</v>
      </c>
      <c r="K188" t="n">
        <v>0.7288431864846041</v>
      </c>
      <c r="L188" t="n">
        <v>0.6832122840994084</v>
      </c>
      <c r="M188" t="n">
        <v>0.5409092595725469</v>
      </c>
      <c r="N188" t="n">
        <v>0</v>
      </c>
      <c r="O188" t="n">
        <v>0.0188401130218439</v>
      </c>
      <c r="P188" t="n">
        <v>0.3335679815942918</v>
      </c>
      <c r="Q188" t="n">
        <v>187</v>
      </c>
    </row>
    <row r="189">
      <c r="A189" t="inlineStr">
        <is>
          <t>IT15Q15000000008</t>
        </is>
      </c>
      <c r="B189" t="n">
        <v>0.3507084423504226</v>
      </c>
      <c r="C189" t="n">
        <v>0.3070719618433383</v>
      </c>
      <c r="D189" t="n">
        <v>0.3974902678142719</v>
      </c>
      <c r="E189" t="n">
        <v>187.16366</v>
      </c>
      <c r="F189" t="n">
        <v>180</v>
      </c>
      <c r="G189" t="n">
        <v>189</v>
      </c>
      <c r="H189" t="n">
        <v>1.464525658498171</v>
      </c>
      <c r="I189" t="n">
        <v>9</v>
      </c>
      <c r="J189" t="n">
        <v>0</v>
      </c>
      <c r="K189" t="n">
        <v>0.3172325484137009</v>
      </c>
      <c r="L189" t="n">
        <v>0.3478902639305345</v>
      </c>
      <c r="M189" t="n">
        <v>0.8780024487224649</v>
      </c>
      <c r="N189" t="n">
        <v>0</v>
      </c>
      <c r="O189" t="n">
        <v>0.07853785533109553</v>
      </c>
      <c r="P189" t="n">
        <v>0.7132793311970546</v>
      </c>
      <c r="Q189" t="n">
        <v>188</v>
      </c>
    </row>
    <row r="190">
      <c r="A190" t="inlineStr">
        <is>
          <t>ES13280790001011E</t>
        </is>
      </c>
      <c r="B190" t="n">
        <v>0.3162714509390545</v>
      </c>
      <c r="C190" t="n">
        <v>0.2748664432560722</v>
      </c>
      <c r="D190" t="n">
        <v>0.3587696401527041</v>
      </c>
      <c r="E190" t="n">
        <v>189.01084</v>
      </c>
      <c r="F190" t="n">
        <v>186</v>
      </c>
      <c r="G190" t="n">
        <v>190</v>
      </c>
      <c r="H190" t="n">
        <v>0.595350732258055</v>
      </c>
      <c r="I190" t="n">
        <v>4</v>
      </c>
      <c r="J190" t="n">
        <v>0</v>
      </c>
      <c r="K190" t="n">
        <v>0.7472256373050132</v>
      </c>
      <c r="L190" t="n">
        <v>0.2651192365922486</v>
      </c>
      <c r="M190" t="n">
        <v>0.6294786819022803</v>
      </c>
      <c r="N190" t="n">
        <v>0</v>
      </c>
      <c r="O190" t="n">
        <v>0.4445956581935652</v>
      </c>
      <c r="P190" t="n">
        <v>0.3335679815942918</v>
      </c>
      <c r="Q190" t="n">
        <v>189</v>
      </c>
    </row>
    <row r="191">
      <c r="A191" t="inlineStr">
        <is>
          <t>ES13280790001019E</t>
        </is>
      </c>
      <c r="B191" t="n">
        <v>0.301324795296998</v>
      </c>
      <c r="C191" t="n">
        <v>0.2571414868480011</v>
      </c>
      <c r="D191" t="n">
        <v>0.3484498005298727</v>
      </c>
      <c r="E191" t="n">
        <v>189.8694</v>
      </c>
      <c r="F191" t="n">
        <v>188</v>
      </c>
      <c r="G191" t="n">
        <v>191</v>
      </c>
      <c r="H191" t="n">
        <v>0.4182148251797794</v>
      </c>
      <c r="I191" t="n">
        <v>3</v>
      </c>
      <c r="J191" t="n">
        <v>0</v>
      </c>
      <c r="K191" t="n">
        <v>0.7494453815573482</v>
      </c>
      <c r="L191" t="n">
        <v>0.2497597515983599</v>
      </c>
      <c r="M191" t="n">
        <v>0.5500245895080347</v>
      </c>
      <c r="N191" t="n">
        <v>0</v>
      </c>
      <c r="O191" t="n">
        <v>0.1767227699062837</v>
      </c>
      <c r="P191" t="n">
        <v>0.6667662674155113</v>
      </c>
      <c r="Q191" t="n">
        <v>190</v>
      </c>
    </row>
    <row r="192">
      <c r="A192" t="inlineStr">
        <is>
          <t>ES13280790001012E</t>
        </is>
      </c>
      <c r="B192" t="n">
        <v>0.2665021048526935</v>
      </c>
      <c r="C192" t="n">
        <v>0.2269218859142967</v>
      </c>
      <c r="D192" t="n">
        <v>0.3086153267215181</v>
      </c>
      <c r="E192" t="n">
        <v>191.35602</v>
      </c>
      <c r="F192" t="n">
        <v>191</v>
      </c>
      <c r="G192" t="n">
        <v>192</v>
      </c>
      <c r="H192" t="n">
        <v>0.478821218828233</v>
      </c>
      <c r="I192" t="n">
        <v>1</v>
      </c>
      <c r="J192" t="n">
        <v>0</v>
      </c>
      <c r="K192" t="n">
        <v>0.7472256373050132</v>
      </c>
      <c r="L192" t="n">
        <v>0.2651192365922486</v>
      </c>
      <c r="M192" t="n">
        <v>0.6294786819022803</v>
      </c>
      <c r="N192" t="n">
        <v>0</v>
      </c>
      <c r="O192" t="n">
        <v>0.1735772928088711</v>
      </c>
      <c r="P192" t="n">
        <v>0.3335679815942918</v>
      </c>
      <c r="Q192" t="n">
        <v>191</v>
      </c>
    </row>
    <row r="193">
      <c r="A193" t="inlineStr">
        <is>
          <t>ES14300161912010E</t>
        </is>
      </c>
      <c r="B193" t="n">
        <v>0.2594291447686622</v>
      </c>
      <c r="C193" t="n">
        <v>0.218273092455253</v>
      </c>
      <c r="D193" t="n">
        <v>0.3023904188964262</v>
      </c>
      <c r="E193" t="n">
        <v>191.62186</v>
      </c>
      <c r="F193" t="n">
        <v>190</v>
      </c>
      <c r="G193" t="n">
        <v>192</v>
      </c>
      <c r="H193" t="n">
        <v>0.5331698982500408</v>
      </c>
      <c r="I193" t="n">
        <v>2</v>
      </c>
      <c r="J193" t="n">
        <v>0</v>
      </c>
      <c r="K193" t="n">
        <v>0.743402747083845</v>
      </c>
      <c r="L193" t="n">
        <v>0.4735665015089072</v>
      </c>
      <c r="M193" t="n">
        <v>0</v>
      </c>
      <c r="N193" t="n">
        <v>0</v>
      </c>
      <c r="O193" t="n">
        <v>0.03941542280675455</v>
      </c>
      <c r="P193" t="n">
        <v>0.4843552491406928</v>
      </c>
      <c r="Q193" t="n">
        <v>192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20" customWidth="1" min="3" max="3"/>
    <col width="51" customWidth="1" min="4" max="4"/>
  </cols>
  <sheetData>
    <row r="1">
      <c r="A1" s="1" t="inlineStr">
        <is>
          <t>Parameter</t>
        </is>
      </c>
      <c r="B1" s="1" t="inlineStr">
        <is>
          <t>Min Value</t>
        </is>
      </c>
      <c r="C1" s="1" t="inlineStr">
        <is>
          <t>Max Value</t>
        </is>
      </c>
      <c r="D1" s="1" t="inlineStr">
        <is>
          <t>Notes</t>
        </is>
      </c>
    </row>
    <row r="2">
      <c r="A2">
        <f>== CATEGORY WEIGHTS ===</f>
        <v/>
      </c>
    </row>
    <row r="3">
      <c r="A3" t="inlineStr">
        <is>
          <t>Category</t>
        </is>
      </c>
      <c r="B3" t="inlineStr">
        <is>
          <t>w_min</t>
        </is>
      </c>
      <c r="C3" t="inlineStr">
        <is>
          <t>w_max</t>
        </is>
      </c>
      <c r="D3" t="inlineStr">
        <is>
          <t>Description</t>
        </is>
      </c>
    </row>
    <row r="4">
      <c r="A4" t="inlineStr">
        <is>
          <t>H2 Renewables Potential</t>
        </is>
      </c>
      <c r="B4" t="n">
        <v>0.01</v>
      </c>
      <c r="C4" t="n">
        <v>0.05</v>
      </c>
      <c r="D4" t="inlineStr">
        <is>
          <t>Weight range for H2 Renewables Potential category</t>
        </is>
      </c>
    </row>
    <row r="5">
      <c r="A5" t="inlineStr">
        <is>
          <t>H2 Logistics</t>
        </is>
      </c>
      <c r="B5" t="n">
        <v>0.3</v>
      </c>
      <c r="C5" t="n">
        <v>0.44</v>
      </c>
      <c r="D5" t="inlineStr">
        <is>
          <t>Weight range for H2 Logistics category</t>
        </is>
      </c>
    </row>
    <row r="6">
      <c r="A6" t="inlineStr">
        <is>
          <t>Grid Electricity</t>
        </is>
      </c>
      <c r="B6" t="n">
        <v>0.1</v>
      </c>
      <c r="C6" t="n">
        <v>0.16</v>
      </c>
      <c r="D6" t="inlineStr">
        <is>
          <t>Weight range for Grid Electricity category</t>
        </is>
      </c>
    </row>
    <row r="7">
      <c r="A7" t="inlineStr">
        <is>
          <t>District Heating</t>
        </is>
      </c>
      <c r="B7" t="n">
        <v>0.15</v>
      </c>
      <c r="C7" t="n">
        <v>0.25</v>
      </c>
      <c r="D7" t="inlineStr">
        <is>
          <t>Weight range for District Heating category</t>
        </is>
      </c>
    </row>
    <row r="8">
      <c r="A8" t="inlineStr">
        <is>
          <t>Oxygen</t>
        </is>
      </c>
      <c r="B8" t="n">
        <v>0.15</v>
      </c>
      <c r="C8" t="n">
        <v>0.25</v>
      </c>
      <c r="D8" t="inlineStr">
        <is>
          <t>Weight range for Oxygen category</t>
        </is>
      </c>
    </row>
    <row r="9">
      <c r="A9" t="inlineStr">
        <is>
          <t>Risk</t>
        </is>
      </c>
      <c r="B9" t="n">
        <v>0.12</v>
      </c>
      <c r="C9" t="n">
        <v>0.2</v>
      </c>
      <c r="D9" t="inlineStr">
        <is>
          <t>Weight range for Risk category</t>
        </is>
      </c>
    </row>
    <row r="11">
      <c r="A11">
        <f>== KPI WEIGHTS ===</f>
        <v/>
      </c>
    </row>
    <row r="12">
      <c r="A12" t="inlineStr">
        <is>
          <t>KPI Name</t>
        </is>
      </c>
      <c r="B12" t="inlineStr">
        <is>
          <t>w_min</t>
        </is>
      </c>
      <c r="C12" t="inlineStr">
        <is>
          <t>w_max</t>
        </is>
      </c>
      <c r="D12" t="inlineStr">
        <is>
          <t>Category</t>
        </is>
      </c>
    </row>
    <row r="13">
      <c r="A13" t="inlineStr">
        <is>
          <t>--- District Heating ---</t>
        </is>
      </c>
    </row>
    <row r="14">
      <c r="A14" t="inlineStr">
        <is>
          <t>Max. Flow Temperature</t>
        </is>
      </c>
      <c r="B14" t="n">
        <v>0.3</v>
      </c>
      <c r="C14" t="n">
        <v>0.4</v>
      </c>
      <c r="D14" t="inlineStr">
        <is>
          <t>District Heating</t>
        </is>
      </c>
    </row>
    <row r="15">
      <c r="A15" t="inlineStr">
        <is>
          <t>Distance to District Heating Network</t>
        </is>
      </c>
      <c r="B15" t="n">
        <v>0.6</v>
      </c>
      <c r="C15" t="n">
        <v>0.7</v>
      </c>
      <c r="D15" t="inlineStr">
        <is>
          <t>District Heating</t>
        </is>
      </c>
    </row>
    <row r="16">
      <c r="A16" t="inlineStr">
        <is>
          <t>--- Grid Electricity ---</t>
        </is>
      </c>
    </row>
    <row r="17">
      <c r="A17" t="inlineStr">
        <is>
          <t>Distance to HV power line</t>
        </is>
      </c>
      <c r="B17" t="n">
        <v>0.3</v>
      </c>
      <c r="C17" t="n">
        <v>0.7</v>
      </c>
      <c r="D17" t="inlineStr">
        <is>
          <t>Grid Electricity</t>
        </is>
      </c>
    </row>
    <row r="18">
      <c r="A18" t="inlineStr">
        <is>
          <t>Distance to HV Substation</t>
        </is>
      </c>
      <c r="B18" t="n">
        <v>0.3</v>
      </c>
      <c r="C18" t="n">
        <v>0.7</v>
      </c>
      <c r="D18" t="inlineStr">
        <is>
          <t>Grid Electricity</t>
        </is>
      </c>
    </row>
    <row r="19">
      <c r="A19" t="inlineStr">
        <is>
          <t>--- H2 Logistics ---</t>
        </is>
      </c>
    </row>
    <row r="20">
      <c r="A20" t="inlineStr">
        <is>
          <t>Pipeline Cost</t>
        </is>
      </c>
      <c r="B20" t="n">
        <v>0.7</v>
      </c>
      <c r="C20" t="n">
        <v>0.8</v>
      </c>
      <c r="D20" t="inlineStr">
        <is>
          <t>H2 Logistics</t>
        </is>
      </c>
    </row>
    <row r="21">
      <c r="A21" t="inlineStr">
        <is>
          <t>Offtakers Potential</t>
        </is>
      </c>
      <c r="B21" t="n">
        <v>0.2</v>
      </c>
      <c r="C21" t="n">
        <v>0.3</v>
      </c>
      <c r="D21" t="inlineStr">
        <is>
          <t>H2 Logistics</t>
        </is>
      </c>
    </row>
    <row r="22">
      <c r="A22" t="inlineStr">
        <is>
          <t>--- H2 Renewables Potential ---</t>
        </is>
      </c>
    </row>
    <row r="23">
      <c r="A23" t="inlineStr">
        <is>
          <t>Calculated LCOH</t>
        </is>
      </c>
      <c r="B23" t="n">
        <v>0.01</v>
      </c>
      <c r="C23" t="n">
        <v>0.05</v>
      </c>
      <c r="D23" t="inlineStr">
        <is>
          <t>H2 Renewables Potential (uses category weights)</t>
        </is>
      </c>
    </row>
    <row r="24">
      <c r="A24" t="inlineStr">
        <is>
          <t>--- Oxygen ---</t>
        </is>
      </c>
    </row>
    <row r="25">
      <c r="A25" t="inlineStr">
        <is>
          <t>Oxygen Usage Potential</t>
        </is>
      </c>
      <c r="B25" t="n">
        <v>0.15</v>
      </c>
      <c r="C25" t="n">
        <v>0.25</v>
      </c>
      <c r="D25" t="inlineStr">
        <is>
          <t>Oxygen (uses category weights)</t>
        </is>
      </c>
    </row>
    <row r="26">
      <c r="A26" t="inlineStr">
        <is>
          <t>--- Risk ---</t>
        </is>
      </c>
    </row>
    <row r="27">
      <c r="A27" t="inlineStr">
        <is>
          <t>Flood Risk (inverted)</t>
        </is>
      </c>
      <c r="B27" t="n">
        <v>0.2</v>
      </c>
      <c r="C27" t="n">
        <v>0.4</v>
      </c>
      <c r="D27" t="inlineStr">
        <is>
          <t>Risk</t>
        </is>
      </c>
    </row>
    <row r="28">
      <c r="A28" t="inlineStr">
        <is>
          <t>Residential Risk (inverted)</t>
        </is>
      </c>
      <c r="B28" t="n">
        <v>0.2</v>
      </c>
      <c r="C28" t="n">
        <v>0.4</v>
      </c>
      <c r="D28" t="inlineStr">
        <is>
          <t>Risk</t>
        </is>
      </c>
    </row>
    <row r="29">
      <c r="A29" t="inlineStr">
        <is>
          <t>Protected Area Risk (inverted)</t>
        </is>
      </c>
      <c r="B29" t="n">
        <v>0.2</v>
      </c>
      <c r="C29" t="n">
        <v>0.4</v>
      </c>
      <c r="D29" t="inlineStr">
        <is>
          <t>Risk</t>
        </is>
      </c>
    </row>
    <row r="31">
      <c r="A31">
        <f>== RISK CONFIGURATION ===</f>
        <v/>
      </c>
    </row>
    <row r="32">
      <c r="A32" t="inlineStr">
        <is>
          <t>Risk Type</t>
        </is>
      </c>
      <c r="B32" t="inlineStr">
        <is>
          <t>Safe Threshold</t>
        </is>
      </c>
      <c r="C32" t="inlineStr">
        <is>
          <t>Critical Threshold</t>
        </is>
      </c>
      <c r="D32" t="inlineStr">
        <is>
          <t>Weight Range</t>
        </is>
      </c>
    </row>
    <row r="33">
      <c r="A33" t="inlineStr">
        <is>
          <t>Flood</t>
        </is>
      </c>
      <c r="B33" t="n">
        <v>250</v>
      </c>
      <c r="C33" t="n">
        <v>50</v>
      </c>
      <c r="D33" t="inlineStr">
        <is>
          <t>w_min: 0.2, w_max: 0.4</t>
        </is>
      </c>
    </row>
    <row r="34">
      <c r="A34" t="inlineStr">
        <is>
          <t>Residential</t>
        </is>
      </c>
      <c r="B34" t="n">
        <v>500</v>
      </c>
      <c r="C34" t="n">
        <v>200</v>
      </c>
      <c r="D34" t="inlineStr">
        <is>
          <t>w_min: 0.2, w_max: 0.4</t>
        </is>
      </c>
    </row>
    <row r="35">
      <c r="A35" t="inlineStr">
        <is>
          <t>Protected</t>
        </is>
      </c>
      <c r="B35" t="n">
        <v>500</v>
      </c>
      <c r="C35" t="n">
        <v>100</v>
      </c>
      <c r="D35" t="inlineStr">
        <is>
          <t>w_min: 0.2, w_max: 0.4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9" customWidth="1" min="1" max="1"/>
    <col width="46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Run Name</t>
        </is>
      </c>
      <c r="B2" t="inlineStr">
        <is>
          <t>Synergieszenario</t>
        </is>
      </c>
    </row>
    <row r="3">
      <c r="A3" t="inlineStr">
        <is>
          <t>Variant</t>
        </is>
      </c>
      <c r="B3" t="inlineStr">
        <is>
          <t>EHB</t>
        </is>
      </c>
    </row>
    <row r="4">
      <c r="A4" t="inlineStr">
        <is>
          <t>Iterations</t>
        </is>
      </c>
      <c r="B4" t="n">
        <v>50000</v>
      </c>
    </row>
    <row r="5">
      <c r="A5" t="inlineStr">
        <is>
          <t>Confidence Level</t>
        </is>
      </c>
      <c r="B5" t="n">
        <v>0.99</v>
      </c>
    </row>
    <row r="6">
      <c r="A6" t="inlineStr">
        <is>
          <t>Random Seed</t>
        </is>
      </c>
      <c r="B6" t="n">
        <v>42</v>
      </c>
    </row>
    <row r="7">
      <c r="A7" t="inlineStr">
        <is>
          <t>Number of Plants (filtered)</t>
        </is>
      </c>
      <c r="B7" t="n">
        <v>192</v>
      </c>
    </row>
    <row r="8">
      <c r="A8" t="inlineStr">
        <is>
          <t>Number of KPIs</t>
        </is>
      </c>
      <c r="B8" t="n">
        <v>11</v>
      </c>
    </row>
    <row r="9">
      <c r="A9" t="inlineStr">
        <is>
          <t>Imputation</t>
        </is>
      </c>
      <c r="B9" t="inlineStr">
        <is>
          <t>median (enabled: True)</t>
        </is>
      </c>
    </row>
    <row r="10">
      <c r="A10" t="inlineStr">
        <is>
          <t>Winsorizing</t>
        </is>
      </c>
      <c r="B10" t="inlineStr">
        <is>
          <t>1.0%</t>
        </is>
      </c>
    </row>
    <row r="11">
      <c r="A11" t="inlineStr">
        <is>
          <t>Weight Sampling</t>
        </is>
      </c>
      <c r="B11" t="inlineStr">
        <is>
          <t>Uniform distribution between w_min and w_max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2025-12-18T23:38:57Z</dcterms:created>
  <dcterms:modified xmlns:dcterms="http://purl.org/dc/terms/" xmlns:xsi="http://www.w3.org/2001/XMLSchema-instance" xsi:type="dcterms:W3CDTF">2025-12-18T23:39:01Z</dcterms:modified>
</cp:coreProperties>
</file>